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filterPrivacy="1" codeName="ThisWorkbook" defaultThemeVersion="124226"/>
  <xr:revisionPtr revIDLastSave="38" documentId="13_ncr:1_{A833C652-47B1-4ECE-B39C-8841703FF98F}" xr6:coauthVersionLast="47" xr6:coauthVersionMax="47" xr10:uidLastSave="{0E9D32DA-B691-4218-84EF-C838F5E9B044}"/>
  <bookViews>
    <workbookView xWindow="-98" yWindow="-98" windowWidth="23236" windowHeight="13996" tabRatio="865" activeTab="1" xr2:uid="{00000000-000D-0000-FFFF-FFFF00000000}"/>
  </bookViews>
  <sheets>
    <sheet name="HELP" sheetId="366" r:id="rId1"/>
    <sheet name="MENU" sheetId="199" r:id="rId2"/>
    <sheet name="Słownik" sheetId="5" r:id="rId3"/>
    <sheet name="Bilans" sheetId="368" r:id="rId4"/>
    <sheet name="Rachunek zysków i strat" sheetId="370" r:id="rId5"/>
    <sheet name="Rachunek przepływów pieniężnych" sheetId="372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4" i="199" l="1"/>
  <c r="B99" i="199"/>
  <c r="B91" i="199"/>
  <c r="B87" i="199"/>
  <c r="B75" i="199"/>
  <c r="B59" i="199"/>
  <c r="B43" i="199"/>
  <c r="B79" i="199"/>
  <c r="B64" i="199"/>
  <c r="B63" i="199"/>
  <c r="B48" i="199"/>
  <c r="B47" i="199"/>
  <c r="B32" i="199"/>
  <c r="B31" i="199"/>
  <c r="B27" i="199"/>
  <c r="E102" i="199"/>
  <c r="E76" i="199"/>
  <c r="D46" i="199"/>
  <c r="F46" i="199"/>
  <c r="F45" i="199"/>
  <c r="D28" i="199"/>
  <c r="B29" i="199"/>
  <c r="D89" i="199"/>
  <c r="D61" i="199"/>
  <c r="D102" i="199"/>
  <c r="E46" i="199"/>
  <c r="E90" i="199"/>
  <c r="D62" i="199"/>
  <c r="E101" i="199"/>
  <c r="F103" i="199"/>
  <c r="E62" i="199"/>
  <c r="F89" i="199"/>
  <c r="B77" i="199"/>
  <c r="F28" i="199"/>
  <c r="D103" i="199"/>
  <c r="B89" i="199"/>
  <c r="F100" i="199"/>
  <c r="E89" i="199"/>
  <c r="E78" i="199"/>
  <c r="B103" i="199"/>
  <c r="D45" i="199"/>
  <c r="E44" i="199"/>
  <c r="B102" i="199"/>
  <c r="F61" i="199"/>
  <c r="E60" i="199"/>
  <c r="F88" i="199"/>
  <c r="F44" i="199"/>
  <c r="D88" i="199"/>
  <c r="E30" i="199"/>
  <c r="F101" i="199"/>
  <c r="D100" i="199"/>
  <c r="E28" i="199"/>
  <c r="B45" i="199"/>
  <c r="F60" i="199"/>
  <c r="F77" i="199"/>
  <c r="F29" i="199"/>
  <c r="D60" i="199"/>
  <c r="B61" i="199"/>
  <c r="F90" i="199"/>
  <c r="B62" i="199"/>
  <c r="D76" i="199"/>
  <c r="D29" i="199"/>
  <c r="F62" i="199"/>
  <c r="B90" i="199"/>
  <c r="F30" i="199"/>
  <c r="B78" i="199"/>
  <c r="E29" i="199"/>
  <c r="E103" i="199"/>
  <c r="B46" i="199"/>
  <c r="D101" i="199"/>
  <c r="D44" i="199"/>
  <c r="D90" i="199"/>
  <c r="F78" i="199"/>
  <c r="E61" i="199"/>
  <c r="D30" i="199"/>
  <c r="B101" i="199"/>
  <c r="D78" i="199"/>
  <c r="F76" i="199"/>
  <c r="B30" i="199"/>
  <c r="E77" i="199"/>
  <c r="D77" i="199"/>
  <c r="E45" i="199"/>
  <c r="E88" i="199"/>
  <c r="E100" i="199"/>
  <c r="F102" i="199"/>
  <c r="F91" i="199" l="1"/>
  <c r="B96" i="199" s="1"/>
  <c r="F79" i="199"/>
  <c r="B84" i="199" s="1"/>
  <c r="E104" i="199"/>
  <c r="B108" i="199" s="1"/>
  <c r="D63" i="199"/>
  <c r="B67" i="199" s="1"/>
  <c r="D91" i="199"/>
  <c r="B94" i="199" s="1"/>
  <c r="D79" i="199"/>
  <c r="B82" i="199" s="1"/>
  <c r="E63" i="199"/>
  <c r="B68" i="199" s="1"/>
  <c r="E91" i="199"/>
  <c r="B95" i="199" s="1"/>
  <c r="E79" i="199"/>
  <c r="B83" i="199" s="1"/>
  <c r="D104" i="199"/>
  <c r="B107" i="199" s="1"/>
  <c r="F63" i="199"/>
  <c r="F104" i="199"/>
  <c r="B109" i="199" s="1"/>
  <c r="D47" i="199"/>
  <c r="D48" i="199" s="1"/>
  <c r="F47" i="199"/>
  <c r="F48" i="199" s="1"/>
  <c r="B56" i="199" s="1"/>
  <c r="E47" i="199"/>
  <c r="E48" i="199" s="1"/>
  <c r="B55" i="199" s="1"/>
  <c r="F31" i="199"/>
  <c r="B37" i="199" s="1"/>
  <c r="D31" i="199"/>
  <c r="B35" i="199" s="1"/>
  <c r="E31" i="199"/>
  <c r="B36" i="199" s="1"/>
  <c r="B54" i="199" l="1"/>
  <c r="B52" i="199"/>
  <c r="B53" i="199"/>
  <c r="E107" i="199"/>
  <c r="D107" i="199"/>
  <c r="E82" i="199"/>
  <c r="D82" i="199"/>
  <c r="E94" i="199"/>
  <c r="D94" i="199"/>
  <c r="E67" i="199"/>
  <c r="D67" i="199"/>
  <c r="D54" i="199"/>
  <c r="B51" i="199"/>
  <c r="D51" i="199"/>
  <c r="D35" i="199"/>
  <c r="E64" i="199"/>
  <c r="B71" i="199" s="1"/>
  <c r="F64" i="199"/>
  <c r="D64" i="199"/>
  <c r="B70" i="199" s="1"/>
  <c r="E32" i="199"/>
  <c r="B39" i="199" s="1"/>
  <c r="F32" i="199"/>
  <c r="B40" i="199" s="1"/>
  <c r="D32" i="199"/>
  <c r="B38" i="199" s="1"/>
  <c r="B72" i="199" l="1"/>
  <c r="B69" i="199"/>
  <c r="D70" i="199"/>
  <c r="E70" i="199"/>
  <c r="E54" i="199"/>
  <c r="E51" i="199"/>
  <c r="E38" i="199"/>
  <c r="E35" i="199"/>
  <c r="D38" i="199"/>
</calcChain>
</file>

<file path=xl/sharedStrings.xml><?xml version="1.0" encoding="utf-8"?>
<sst xmlns="http://schemas.openxmlformats.org/spreadsheetml/2006/main" count="521" uniqueCount="338">
  <si>
    <t>INSTRUKCJA OBSŁUGI ANALIZATORA</t>
  </si>
  <si>
    <t>1.</t>
  </si>
  <si>
    <r>
      <rPr>
        <sz val="12"/>
        <color rgb="FF000000"/>
        <rFont val="Times New Roman"/>
      </rPr>
      <t>Przed przystąpieniem do działania z analizatorem, konieczne jest utworzenie raportów w formacie HTML za pomocą Ekanwin, które następnie powinny zostać zapisane w określonych katalogach:</t>
    </r>
    <r>
      <rPr>
        <b/>
        <sz val="12"/>
        <color rgb="FF000000"/>
        <rFont val="Times New Roman"/>
      </rPr>
      <t xml:space="preserve"> C:\PROG\EKAN\OPERATOR\Z2\sr15_46 </t>
    </r>
    <r>
      <rPr>
        <sz val="12"/>
        <color rgb="FF000000"/>
        <rFont val="Times New Roman"/>
      </rPr>
      <t>lub należy zmienić ścieżkę w komórce B4, na tą w której znajdują się pliki, które chcemy analizować.</t>
    </r>
  </si>
  <si>
    <t>2.</t>
  </si>
  <si>
    <r>
      <t xml:space="preserve">Na wstępie, w sekcji "MENU", należy załadować raporty HTML, klikając na przycisk </t>
    </r>
    <r>
      <rPr>
        <b/>
        <sz val="12"/>
        <color theme="1"/>
        <rFont val="Times New Roman"/>
        <family val="1"/>
      </rPr>
      <t>"WCZYTAJ DANE"</t>
    </r>
    <r>
      <rPr>
        <sz val="12"/>
        <color theme="1"/>
        <rFont val="Times New Roman"/>
        <family val="1"/>
      </rPr>
      <t>. Kluczowym dokumentem przy analizie dynamicznej płynności finansowej jest bilans oraz rachunek zysków i strat.</t>
    </r>
  </si>
  <si>
    <t>3.</t>
  </si>
  <si>
    <r>
      <t xml:space="preserve">Aby przeprowadzić analizę w arkkuszu "MENU", test wczytania pliku w kolumnie </t>
    </r>
    <r>
      <rPr>
        <b/>
        <sz val="12"/>
        <color theme="1"/>
        <rFont val="Times New Roman"/>
        <family val="1"/>
      </rPr>
      <t>"Wczytany?"</t>
    </r>
    <r>
      <rPr>
        <sz val="12"/>
        <color theme="1"/>
        <rFont val="Times New Roman"/>
        <family val="1"/>
      </rPr>
      <t xml:space="preserve"> musi być zaznaczony jako "PRAWDA", co wskazuje na jego prawidłowe załadowanie.</t>
    </r>
  </si>
  <si>
    <t>4.</t>
  </si>
  <si>
    <r>
      <t xml:space="preserve">Klikając przycisk </t>
    </r>
    <r>
      <rPr>
        <b/>
        <sz val="12"/>
        <color theme="1"/>
        <rFont val="Times New Roman"/>
        <family val="1"/>
      </rPr>
      <t>"WCZYTAJ DANE"</t>
    </r>
    <r>
      <rPr>
        <sz val="12"/>
        <color theme="1"/>
        <rFont val="Times New Roman"/>
        <family val="1"/>
      </rPr>
      <t xml:space="preserve">, mamy możliwość załadowania danych do tabeli pomocniczej, natomiast używając przycisku </t>
    </r>
    <r>
      <rPr>
        <b/>
        <sz val="12"/>
        <color theme="1"/>
        <rFont val="Times New Roman"/>
        <family val="1"/>
      </rPr>
      <t>"USUŃ DANE"</t>
    </r>
    <r>
      <rPr>
        <sz val="12"/>
        <color theme="1"/>
        <rFont val="Times New Roman"/>
        <family val="1"/>
      </rPr>
      <t>, możemy te informacje wyczyścić.</t>
    </r>
  </si>
  <si>
    <t>5.</t>
  </si>
  <si>
    <r>
      <t xml:space="preserve">Za pomocą pól wyboru można indywidualnie zdecydować, które pliki mają być wczytane. Funkcje przycisków </t>
    </r>
    <r>
      <rPr>
        <b/>
        <sz val="12"/>
        <color theme="1"/>
        <rFont val="Times New Roman"/>
        <family val="1"/>
      </rPr>
      <t>"Zaznacz wszystkie"</t>
    </r>
    <r>
      <rPr>
        <sz val="12"/>
        <color theme="1"/>
        <rFont val="Times New Roman"/>
        <family val="1"/>
      </rPr>
      <t xml:space="preserve"> i </t>
    </r>
    <r>
      <rPr>
        <b/>
        <sz val="12"/>
        <color theme="1"/>
        <rFont val="Times New Roman"/>
        <family val="1"/>
      </rPr>
      <t xml:space="preserve">"Odznacz wszystkie" </t>
    </r>
    <r>
      <rPr>
        <sz val="12"/>
        <color theme="1"/>
        <rFont val="Times New Roman"/>
        <family val="1"/>
      </rPr>
      <t>pozwalają na szybkie zaznaczenie lub odznaczenie wszystkich plików jednocześnie.</t>
    </r>
  </si>
  <si>
    <t>6.</t>
  </si>
  <si>
    <r>
      <t xml:space="preserve">Dodatkowo, aktywacja przycisku </t>
    </r>
    <r>
      <rPr>
        <b/>
        <sz val="12"/>
        <color theme="1"/>
        <rFont val="Times New Roman"/>
        <family val="1"/>
      </rPr>
      <t>"Pokaż wszystkie wykresy"</t>
    </r>
    <r>
      <rPr>
        <sz val="12"/>
        <color theme="1"/>
        <rFont val="Times New Roman"/>
        <family val="1"/>
      </rPr>
      <t xml:space="preserve"> spowoduje wyświetlenie wykresów dla głównych wskaźników, podczas gdy użycie przycisku</t>
    </r>
    <r>
      <rPr>
        <b/>
        <sz val="12"/>
        <color theme="1"/>
        <rFont val="Times New Roman"/>
        <family val="1"/>
      </rPr>
      <t xml:space="preserve"> "Usuń wszystkie wykresy" </t>
    </r>
    <r>
      <rPr>
        <sz val="12"/>
        <color theme="1"/>
        <rFont val="Times New Roman"/>
        <family val="1"/>
      </rPr>
      <t>usunie je z widoku.</t>
    </r>
  </si>
  <si>
    <t>7.</t>
  </si>
  <si>
    <r>
      <t xml:space="preserve">Aby finalizować analizę płynności dynamicznej, należy nacisnąć przycisk </t>
    </r>
    <r>
      <rPr>
        <b/>
        <sz val="12"/>
        <color theme="1"/>
        <rFont val="Times New Roman"/>
        <family val="1"/>
      </rPr>
      <t>"USUŃ DANE"</t>
    </r>
    <r>
      <rPr>
        <sz val="12"/>
        <color theme="1"/>
        <rFont val="Times New Roman"/>
        <family val="1"/>
      </rPr>
      <t xml:space="preserve"> znajdujący się w prawym górnym rogu analizatora – spowoduje to wyczyszczenie narzędzia analizującego oraz usunięcie załadowanych plików HTML.</t>
    </r>
  </si>
  <si>
    <t>TECHNICZNE UWAGI DO ANALIZATORA</t>
  </si>
  <si>
    <t>Dolne i górne progi dla indywidualnych wskaźników zostały określone na podstawie standardów branżowych.</t>
  </si>
  <si>
    <t>Interpretacje określono przez zastosowanie formatowania warunkowego. Komórka przybiera kolor zielony, gdy wartość mieści się w przedziale pomiędzy dolną a górną granicą, w przeciwnym razie komórka staje się czerwona.</t>
  </si>
  <si>
    <t>W arkuszu „Słownik” zamieszczone są fragmenty tekstu, które są przydatne przy przeprowadzaniu analizy tekstowej.</t>
  </si>
  <si>
    <t>Ścieżka dostępu</t>
  </si>
  <si>
    <t>Wczytać?</t>
  </si>
  <si>
    <t>Wczytamy?</t>
  </si>
  <si>
    <t xml:space="preserve">Rozszerzenie </t>
  </si>
  <si>
    <t>Plik istniał?</t>
  </si>
  <si>
    <t>Żądana nazwa arkusza</t>
  </si>
  <si>
    <t>C:\PROG\EKAN\OPERATOR\Z2\sr15_46</t>
  </si>
  <si>
    <t>BIK</t>
  </si>
  <si>
    <t>Bilans</t>
  </si>
  <si>
    <t>RAW</t>
  </si>
  <si>
    <t>Rachunek zysków i strat</t>
  </si>
  <si>
    <t>ING</t>
  </si>
  <si>
    <t>Rachunek przepływów pieniężnych</t>
  </si>
  <si>
    <t xml:space="preserve">Nazwa wskaźnika </t>
  </si>
  <si>
    <t>licznik (l)</t>
  </si>
  <si>
    <t>źródło (l)</t>
  </si>
  <si>
    <t>mianownik (m)</t>
  </si>
  <si>
    <t>źródło (m)</t>
  </si>
  <si>
    <t>typ zaleceń</t>
  </si>
  <si>
    <t>dolna granica</t>
  </si>
  <si>
    <t>górna granica</t>
  </si>
  <si>
    <t>Cykl zapasów</t>
  </si>
  <si>
    <t xml:space="preserve">Wskaźnik obrotowości zapasów </t>
  </si>
  <si>
    <t>przychody ze sprzedaży</t>
  </si>
  <si>
    <t>RAX</t>
  </si>
  <si>
    <t>zapasy</t>
  </si>
  <si>
    <t>powyżej dolnej granicy</t>
  </si>
  <si>
    <t>brak</t>
  </si>
  <si>
    <t>Wskaźnik cyklu zapasów</t>
  </si>
  <si>
    <t>-</t>
  </si>
  <si>
    <t xml:space="preserve">wskaźnik obrotowości zapasów </t>
  </si>
  <si>
    <t>poniżej górnej granicy</t>
  </si>
  <si>
    <t xml:space="preserve">Cykl należności </t>
  </si>
  <si>
    <t xml:space="preserve">Wskaźnik obrotowości należności </t>
  </si>
  <si>
    <t>należności krótkoterminowe</t>
  </si>
  <si>
    <t>Wskaźnik cyklu należności</t>
  </si>
  <si>
    <t xml:space="preserve">wskaźnik obrotowości należności </t>
  </si>
  <si>
    <t>między granicami</t>
  </si>
  <si>
    <t>Cykl zbowiązań</t>
  </si>
  <si>
    <t>Wskaźnik obrotowości zobowiązań</t>
  </si>
  <si>
    <t>zobowiązania krótkoterminowe</t>
  </si>
  <si>
    <t>Wskaźnik cyklu zobowiązań</t>
  </si>
  <si>
    <t>wskaźnik cyklu zobowiązań</t>
  </si>
  <si>
    <t>Wskaźniki wydajności</t>
  </si>
  <si>
    <t>Wskaźnik wydajności gotówkowej sprzedaży</t>
  </si>
  <si>
    <t>przepływy z działalności operacyjnej</t>
  </si>
  <si>
    <t>Wskaźnik wydajności gotówkowej aktywów</t>
  </si>
  <si>
    <t>aktywa razem</t>
  </si>
  <si>
    <t>Wskaźnik wydajności gotówkowej zysku</t>
  </si>
  <si>
    <t>zysk brutto + odsetki + amortyzacja</t>
  </si>
  <si>
    <t>zysk z działalności operacyjnej</t>
  </si>
  <si>
    <t>WSKAŹNIKI</t>
  </si>
  <si>
    <t>Ocena wskaźników</t>
  </si>
  <si>
    <t>Dynamika 2024/2025</t>
  </si>
  <si>
    <t>Dynamika 2025/2026</t>
  </si>
  <si>
    <t>Diagnozy wskaźników</t>
  </si>
  <si>
    <t>wzrósł</t>
  </si>
  <si>
    <t>nie zmienił się</t>
  </si>
  <si>
    <t>zmalał</t>
  </si>
  <si>
    <t>w roku</t>
  </si>
  <si>
    <t>jest dodatni</t>
  </si>
  <si>
    <t>jest ujemny</t>
  </si>
  <si>
    <t>ma wartość należącą do zalecanego zakresu - to dobrze</t>
  </si>
  <si>
    <t>nie ma wartości należącej do zalecanego zakresu - to źle</t>
  </si>
  <si>
    <t>mianownik</t>
  </si>
  <si>
    <t>licznik</t>
  </si>
  <si>
    <t>względem</t>
  </si>
  <si>
    <t>Sprawozdanie: RACHUNEK ZYSKÓW I STRAT (WARIANT KALKULACYJNY)</t>
  </si>
  <si>
    <r>
      <t>oraz RACHUNEK ZYSKÓW/STRAT ZATRZYMANYCH</t>
    </r>
    <r>
      <rPr>
        <sz val="13.5"/>
        <color rgb="FFA53737"/>
        <rFont val="Calibri"/>
        <family val="2"/>
        <charset val="238"/>
        <scheme val="minor"/>
      </rPr>
      <t xml:space="preserve"> </t>
    </r>
  </si>
  <si>
    <t>Operator : C:\PROG\EKAN\OPERATOR\Z2\sr15_46,sir</t>
  </si>
  <si>
    <t>Decyzja :  6</t>
  </si>
  <si>
    <t>W Y S Z C Z E G Ó L N I E N I E</t>
  </si>
  <si>
    <t>RACHUNEK ZYSKÓW I STRAT</t>
  </si>
  <si>
    <t>Na koniec roku: /mln zł/</t>
  </si>
  <si>
    <t>(WARIANT KALKULACYJNY)</t>
  </si>
  <si>
    <t>A,     Przychody netto ze sprzedaży produktów, towarów i materiałów</t>
  </si>
  <si>
    <t>64,74</t>
  </si>
  <si>
    <t>109,51</t>
  </si>
  <si>
    <t>308,62</t>
  </si>
  <si>
    <t>A,1,  Przychody netto ze sprzedaży produktów, towarów i materiałów</t>
  </si>
  <si>
    <t>A,1,I, Przychody netto ze sprzedaży produktów</t>
  </si>
  <si>
    <t>B,      Koszty sprzedanych produktów, towarów i materiałów</t>
  </si>
  <si>
    <t>53,36</t>
  </si>
  <si>
    <t>75,97</t>
  </si>
  <si>
    <t>184,87</t>
  </si>
  <si>
    <t>B,I,    Koszt wytworzenia sprzedanych produktów</t>
  </si>
  <si>
    <t>C,      Zysk (strata) brutto ze sprzedaży (A - B)</t>
  </si>
  <si>
    <t>11,38</t>
  </si>
  <si>
    <t>33,54</t>
  </si>
  <si>
    <t>123,74</t>
  </si>
  <si>
    <t>D,      Koszty sprzedaży</t>
  </si>
  <si>
    <t>2,36</t>
  </si>
  <si>
    <t>6,88</t>
  </si>
  <si>
    <t>15,63</t>
  </si>
  <si>
    <t>E,      Koszty ogólnego zarządu</t>
  </si>
  <si>
    <t>25,42</t>
  </si>
  <si>
    <t>36,37</t>
  </si>
  <si>
    <t>61,68</t>
  </si>
  <si>
    <t>F,      Zysk (strata) ze sprzedaży (C - D - E)</t>
  </si>
  <si>
    <t>-16,40</t>
  </si>
  <si>
    <t>-9,71</t>
  </si>
  <si>
    <t>46,43</t>
  </si>
  <si>
    <t>G,     Pozostałe przychody operacyjne</t>
  </si>
  <si>
    <t>H,     Pozostałe koszty operacyjne</t>
  </si>
  <si>
    <t>I,      Zysk (strata) z działalności operacyjnej</t>
  </si>
  <si>
    <t>J,      Przychody finansowe</t>
  </si>
  <si>
    <t>K,    Koszty finansowe</t>
  </si>
  <si>
    <t>4,70</t>
  </si>
  <si>
    <t>7,34</t>
  </si>
  <si>
    <t>10,24</t>
  </si>
  <si>
    <t>K,I,  Odsetki</t>
  </si>
  <si>
    <t>L,     Zysk (strata) z działalności gospodarczej (I + J - K)</t>
  </si>
  <si>
    <t>-21,10</t>
  </si>
  <si>
    <t>-17,05</t>
  </si>
  <si>
    <t>36,19</t>
  </si>
  <si>
    <t>M,    Wynik zdarzeń nadzwyczajnych (M,I - M,II)</t>
  </si>
  <si>
    <t>-0,61</t>
  </si>
  <si>
    <t>-0,75</t>
  </si>
  <si>
    <t>-0,42</t>
  </si>
  <si>
    <t>M,I,   Zyski nadzwyczajne</t>
  </si>
  <si>
    <t>M,II,  Straty nadzwyczajne</t>
  </si>
  <si>
    <t>0,61</t>
  </si>
  <si>
    <t>0,75</t>
  </si>
  <si>
    <t>0,42</t>
  </si>
  <si>
    <t>N,      Zysk (strata) brutto (L +/- M)</t>
  </si>
  <si>
    <t>-21,72</t>
  </si>
  <si>
    <t>-17,80</t>
  </si>
  <si>
    <t>35,77</t>
  </si>
  <si>
    <t>O,      Podatek dochodowy</t>
  </si>
  <si>
    <t>0,00</t>
  </si>
  <si>
    <t>3,58</t>
  </si>
  <si>
    <t>P,       Pozostałe obowiązkowe zmniejszenia zysku (zwiększenia straty)</t>
  </si>
  <si>
    <t>9,66</t>
  </si>
  <si>
    <t>  - dywidenda Skarbu Państwa</t>
  </si>
  <si>
    <t>R,      Zysk (strata) netto (N - O - P), w tym</t>
  </si>
  <si>
    <t>22,54</t>
  </si>
  <si>
    <t>  - dywidenda zwykła</t>
  </si>
  <si>
    <t>12,62</t>
  </si>
  <si>
    <t>  - zyski zatrzymane</t>
  </si>
  <si>
    <t>9,92</t>
  </si>
  <si>
    <t>    - odpis na kapitał zapasowy</t>
  </si>
  <si>
    <t>    - odpis na kapitał rezerwowy</t>
  </si>
  <si>
    <t>RACHUNEK ZYSKÓW/STRAT ZATRZYMANYCH</t>
  </si>
  <si>
    <t>1, Zyski zatrzymane straty poniesione (skum,) 1 Stycznia</t>
  </si>
  <si>
    <t>-39,52</t>
  </si>
  <si>
    <t>  + Zysk netto/strata w danym roku</t>
  </si>
  <si>
    <t>Razem</t>
  </si>
  <si>
    <t>-16,98</t>
  </si>
  <si>
    <t>  - Dywidenda zwykła</t>
  </si>
  <si>
    <t>2, Zyski zatrzymane/straty poniesione (skum,) 31 Grudnia</t>
  </si>
  <si>
    <t>-29,60</t>
  </si>
  <si>
    <t xml:space="preserve">Sprawozdanie: R A C H U N E K   P R Z E P Ł Y W Ó W   P I E N I Ę Ż N Y C H  (met, bezpośr,) </t>
  </si>
  <si>
    <t>R A C H U N E K   P R Z E P Ł Y W Ó W   P I E N I Ę Ż N Y C H   (met, bezpośr,)</t>
  </si>
  <si>
    <t>WYSZCZEGÓLNIENIE</t>
  </si>
  <si>
    <t>Na koniec roku</t>
  </si>
  <si>
    <t>/mln zł/</t>
  </si>
  <si>
    <t>A,     Przepływy środków pieniężnych z działalności operacyjnej</t>
  </si>
  <si>
    <t>39,40</t>
  </si>
  <si>
    <t>-19,97</t>
  </si>
  <si>
    <t>41,44</t>
  </si>
  <si>
    <t>A,I,   Wpływy</t>
  </si>
  <si>
    <t>101,33</t>
  </si>
  <si>
    <t>96,40</t>
  </si>
  <si>
    <t>279,63</t>
  </si>
  <si>
    <t>A,II,  Wydatki</t>
  </si>
  <si>
    <t>61,93</t>
  </si>
  <si>
    <t>116,37</t>
  </si>
  <si>
    <t>238,19</t>
  </si>
  <si>
    <t>A,III, Przepływy pieniężne netto z działalności operacyjnej</t>
  </si>
  <si>
    <t>B,      Przepływy środków pieniężnych z działalności inwestycyjnej</t>
  </si>
  <si>
    <t>-1,00</t>
  </si>
  <si>
    <t>-7,00</t>
  </si>
  <si>
    <t>-10,00</t>
  </si>
  <si>
    <t>B,I,    Wpływy</t>
  </si>
  <si>
    <t>B,II,   Wydatki</t>
  </si>
  <si>
    <t>1,00</t>
  </si>
  <si>
    <t>7,00</t>
  </si>
  <si>
    <t>10,00</t>
  </si>
  <si>
    <t>B,II,1, Nabycie wartości niematerialnych i prawnych oraz rzeczowych aktywów trwałych</t>
  </si>
  <si>
    <t>0,33</t>
  </si>
  <si>
    <t>2,33</t>
  </si>
  <si>
    <t>3,33</t>
  </si>
  <si>
    <t>B,II,2, Inwestycje w nieruchomości oraz wartości niematerialne i prawne</t>
  </si>
  <si>
    <t>0,67</t>
  </si>
  <si>
    <t>4,67</t>
  </si>
  <si>
    <t>6,67</t>
  </si>
  <si>
    <t>B,III,   Przepływy pieniężne netto z działalności inwestycyjnej</t>
  </si>
  <si>
    <t>C,        Przepływy środków pieniężnych z działalności finansowej</t>
  </si>
  <si>
    <t>49,10</t>
  </si>
  <si>
    <t>40,20</t>
  </si>
  <si>
    <t>11,54</t>
  </si>
  <si>
    <t>C,I,      Wpływy</t>
  </si>
  <si>
    <t>56,80</t>
  </si>
  <si>
    <t>74,54</t>
  </si>
  <si>
    <t>69,00</t>
  </si>
  <si>
    <t>C,I,1,   Wpływy netto z wydania udziałów (emisji akcji) i innych instrumentów kapitałowych oraz dopłat do kapitału</t>
  </si>
  <si>
    <t>C,I,2,    Kredyty i pożyczki</t>
  </si>
  <si>
    <t>C,II,     Wydatki</t>
  </si>
  <si>
    <t>7,70</t>
  </si>
  <si>
    <t>34,33</t>
  </si>
  <si>
    <t>57,46</t>
  </si>
  <si>
    <t>C,II,2,   Dywidendy i inne wypłaty na rzecz właścicieli</t>
  </si>
  <si>
    <t>22,28</t>
  </si>
  <si>
    <t>C,II,4, Spłaty kredytów i pożyczek</t>
  </si>
  <si>
    <t>3,00</t>
  </si>
  <si>
    <t>26,99</t>
  </si>
  <si>
    <t>24,94</t>
  </si>
  <si>
    <t>C,II,7, Odsetki</t>
  </si>
  <si>
    <t>C,III, Przepływy pieniężne netto z działalności finansowej</t>
  </si>
  <si>
    <t>D, Przepływy pieniężne netto, razem (A,III + B,III + C,III)</t>
  </si>
  <si>
    <t>87,50</t>
  </si>
  <si>
    <t>13,23</t>
  </si>
  <si>
    <t>42,98</t>
  </si>
  <si>
    <t>F, Środki pieniężne na początek okresu</t>
  </si>
  <si>
    <t>5,79</t>
  </si>
  <si>
    <t>-13,41</t>
  </si>
  <si>
    <t>G, Środki pieniężne na koniec okresu (F - D)</t>
  </si>
  <si>
    <t>-6,92</t>
  </si>
  <si>
    <t>PASYWA RAZEM</t>
  </si>
  <si>
    <t>- kredyt na inwestycje</t>
  </si>
  <si>
    <t>- długoterminowy kredyt bankowy (pod hipotekę)</t>
  </si>
  <si>
    <t>Stan na koniec roku: /mln zł/</t>
  </si>
  <si>
    <t>P A S Y W A:</t>
  </si>
  <si>
    <t>AKTYWA RAZEM</t>
  </si>
  <si>
    <t>skumulowana dekapitalizacja</t>
  </si>
  <si>
    <t>Urządzenia techniczne i maszyny (netto)</t>
  </si>
  <si>
    <t>Grunty i budynki (netto)</t>
  </si>
  <si>
    <t>A K T Y W A:</t>
  </si>
  <si>
    <t>B I L A N S      O K R E S O W Y</t>
  </si>
  <si>
    <r>
      <t>Sprawozdanie: Bilans</t>
    </r>
    <r>
      <rPr>
        <sz val="13.5"/>
        <color rgb="FFA53737"/>
        <rFont val="Calibri"/>
        <family val="2"/>
        <charset val="238"/>
        <scheme val="minor"/>
      </rPr>
      <t xml:space="preserve"> </t>
    </r>
  </si>
  <si>
    <t>A,AKTYWA TRWAŁE</t>
  </si>
  <si>
    <t>111,36</t>
  </si>
  <si>
    <t>134,07</t>
  </si>
  <si>
    <t>146,08</t>
  </si>
  <si>
    <t>A,II,Rzeczowe aktywa trwałe</t>
  </si>
  <si>
    <t>A,II,1,a,b) Grunty i budynki (brutto)</t>
  </si>
  <si>
    <t>80,67</t>
  </si>
  <si>
    <t>100,00</t>
  </si>
  <si>
    <t>125,67</t>
  </si>
  <si>
    <t>54,24</t>
  </si>
  <si>
    <t>67,72</t>
  </si>
  <si>
    <t>85,72</t>
  </si>
  <si>
    <t>A,II,1,c) Urządzenia techniczne i maszyny (brutto)</t>
  </si>
  <si>
    <t>40,33</t>
  </si>
  <si>
    <t>50,00</t>
  </si>
  <si>
    <t>62,83</t>
  </si>
  <si>
    <t>27,12</t>
  </si>
  <si>
    <t>33,86</t>
  </si>
  <si>
    <t>42,86</t>
  </si>
  <si>
    <t>39,64</t>
  </si>
  <si>
    <t>48,43</t>
  </si>
  <si>
    <t>59,92</t>
  </si>
  <si>
    <t>A,II,2,Środki trwałe w budowie</t>
  </si>
  <si>
    <t>24,00</t>
  </si>
  <si>
    <t>7,50</t>
  </si>
  <si>
    <t>B,AKTYWA OBROTOWE</t>
  </si>
  <si>
    <t>47,70</t>
  </si>
  <si>
    <t>47,54</t>
  </si>
  <si>
    <t>68,14</t>
  </si>
  <si>
    <t>B,I,Zapasy</t>
  </si>
  <si>
    <t>41,74</t>
  </si>
  <si>
    <t>47,67</t>
  </si>
  <si>
    <t>32,79</t>
  </si>
  <si>
    <t>B,I,1,Materiały</t>
  </si>
  <si>
    <t>34,83</t>
  </si>
  <si>
    <t>38,98</t>
  </si>
  <si>
    <t>0,80</t>
  </si>
  <si>
    <t>B,I,2,Półprodukty i produkty w toku</t>
  </si>
  <si>
    <t>4,26</t>
  </si>
  <si>
    <t>20,97</t>
  </si>
  <si>
    <t>B,I,3,Produkty gotowe</t>
  </si>
  <si>
    <t>6,30</t>
  </si>
  <si>
    <t>4,43</t>
  </si>
  <si>
    <t>11,02</t>
  </si>
  <si>
    <t>B,II,Należności krótkoterminowe</t>
  </si>
  <si>
    <t>0,17</t>
  </si>
  <si>
    <t>-0,13</t>
  </si>
  <si>
    <t>35,35</t>
  </si>
  <si>
    <t>B,II,2,Nal, od pozostałych jednostek</t>
  </si>
  <si>
    <t>B,II,2,a) z tytułu dostaw i usług</t>
  </si>
  <si>
    <t>B,III,Inwestycje krótkoterminowe</t>
  </si>
  <si>
    <t>B,III,1,Krótkoterm, aktywa finans,</t>
  </si>
  <si>
    <t>B,III,1,c) Środki pieniężne w kasie i na rachunkach</t>
  </si>
  <si>
    <t>159,06</t>
  </si>
  <si>
    <t>181,61</t>
  </si>
  <si>
    <t>214,22</t>
  </si>
  <si>
    <t>A,KAPITAŁ (FUNDUSZ) WŁASNY (I+IV+VI)</t>
  </si>
  <si>
    <t>-83,15</t>
  </si>
  <si>
    <t>-100,95</t>
  </si>
  <si>
    <t>-91,04</t>
  </si>
  <si>
    <t>A,I,Kapitał (fundusz) podstawowy</t>
  </si>
  <si>
    <t>A,IV,Kapitał (fundusz) zapasowy</t>
  </si>
  <si>
    <t>A,VI,Pozostałe kapitały rezerwowe</t>
  </si>
  <si>
    <t>A,VII,Zysk (strata) netto</t>
  </si>
  <si>
    <t>B,ZOBOWIĄZANIA I REZERWY NA ZOBOWIĄZANIA</t>
  </si>
  <si>
    <t>242,21</t>
  </si>
  <si>
    <t>282,56</t>
  </si>
  <si>
    <t>305,26</t>
  </si>
  <si>
    <t>B,II,Zobowiązania długoterminowe</t>
  </si>
  <si>
    <t>66,11</t>
  </si>
  <si>
    <t>83,47</t>
  </si>
  <si>
    <t>80,65</t>
  </si>
  <si>
    <t>B,II,2,Zobowiązania długoterminowe wobec pozostałych jednostek</t>
  </si>
  <si>
    <t>B,II,2,a) Kredyty i pożyczki</t>
  </si>
  <si>
    <t>39,11</t>
  </si>
  <si>
    <t>58,96</t>
  </si>
  <si>
    <t>67,59</t>
  </si>
  <si>
    <t>27,00</t>
  </si>
  <si>
    <t>24,51</t>
  </si>
  <si>
    <t>13,07</t>
  </si>
  <si>
    <t>B,III,Zobowiązania krótkoterminowe</t>
  </si>
  <si>
    <t>176,10</t>
  </si>
  <si>
    <t>199,09</t>
  </si>
  <si>
    <t>224,60</t>
  </si>
  <si>
    <t>B,III,2,Wobec pozostałych jednostek</t>
  </si>
  <si>
    <t>B,III,2,a) Kredyty i pożyczki</t>
  </si>
  <si>
    <t>B,III,2,b) Z tytułu emisji dłużnych papierów wartościowych</t>
  </si>
  <si>
    <t>B,III,2,c) Inne zobowiązania finansowe</t>
  </si>
  <si>
    <t>B,III,2,d) Z tytułu dostaw i usług, o okresie wymagalności do 12 m,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</si>
</sst>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9">
    <font>
      <sz val="11"/>
      <color theme="1"/>
      <name val="Czcionka tekstu podstawowego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4"/>
      <color indexed="8"/>
      <name val="Czcionka tekstu podstawowego"/>
      <charset val="238"/>
    </font>
    <font>
      <b/>
      <sz val="11"/>
      <color indexed="8"/>
      <name val="Czcionka tekstu podstawowego"/>
      <charset val="238"/>
    </font>
    <font>
      <sz val="11"/>
      <color theme="1"/>
      <name val="Czcionka tekstu podstawowego"/>
      <family val="2"/>
      <charset val="238"/>
    </font>
    <font>
      <b/>
      <sz val="11"/>
      <color rgb="FF3F3F3F"/>
      <name val="Calibri"/>
      <family val="2"/>
      <charset val="238"/>
      <scheme val="minor"/>
    </font>
    <font>
      <b/>
      <sz val="11"/>
      <color theme="1"/>
      <name val="Czcionka tekstu podstawowego"/>
      <charset val="238"/>
    </font>
    <font>
      <sz val="11"/>
      <name val="Czcionka tekstu podstawowego"/>
      <family val="2"/>
      <charset val="238"/>
    </font>
    <font>
      <sz val="11"/>
      <color theme="1"/>
      <name val="Czcionka tekstu podstawowego"/>
      <charset val="238"/>
    </font>
    <font>
      <b/>
      <sz val="11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3.5"/>
      <color rgb="FFA53737"/>
      <name val="Calibri"/>
      <family val="2"/>
      <charset val="238"/>
      <scheme val="minor"/>
    </font>
    <font>
      <sz val="13.5"/>
      <color rgb="FFA53737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  <font>
      <sz val="11"/>
      <color rgb="FFFF0000"/>
      <name val="Czcionka tekstu podstawowego"/>
      <family val="2"/>
      <charset val="238"/>
    </font>
    <font>
      <b/>
      <sz val="20"/>
      <color theme="1"/>
      <name val="Czcionka tekstu podstawowego"/>
      <charset val="238"/>
    </font>
    <font>
      <b/>
      <sz val="16"/>
      <color theme="1"/>
      <name val="Czcionka tekstu podstawowego"/>
      <charset val="238"/>
    </font>
    <font>
      <sz val="8"/>
      <name val="Czcionka tekstu podstawowego"/>
      <family val="2"/>
      <charset val="238"/>
    </font>
    <font>
      <b/>
      <sz val="11"/>
      <name val="Czcionka tekstu podstawowego"/>
      <charset val="238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Times New Roman"/>
    </font>
    <font>
      <b/>
      <sz val="12"/>
      <color rgb="FF000000"/>
      <name val="Times New Roman"/>
    </font>
    <font>
      <b/>
      <sz val="24"/>
      <color rgb="FF000000"/>
      <name val="Aptos Narrow"/>
      <family val="2"/>
    </font>
    <font>
      <sz val="11"/>
      <color rgb="FF000000"/>
      <name val="Czcionka tekstu podstawowego"/>
    </font>
    <font>
      <b/>
      <sz val="16"/>
      <color rgb="FF000000"/>
      <name val="Czcionka tekstu podstawowego"/>
    </font>
    <font>
      <b/>
      <sz val="20"/>
      <color rgb="FF008000"/>
      <name val="Czcionka tekstu podstawowego"/>
    </font>
    <font>
      <sz val="8"/>
      <color rgb="FF000000"/>
      <name val="Segoe UI"/>
      <family val="2"/>
      <charset val="238"/>
    </font>
    <font>
      <b/>
      <sz val="20"/>
      <color rgb="FF993300"/>
      <name val="Czcionka tekstu podstawowego"/>
    </font>
    <font>
      <b/>
      <sz val="12"/>
      <color rgb="FF000000"/>
      <name val="Czcionka tekstu podstawowego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4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/>
      <diagonal/>
    </border>
  </borders>
  <cellStyleXfs count="20">
    <xf numFmtId="0" fontId="0" fillId="0" borderId="0"/>
    <xf numFmtId="0" fontId="17" fillId="0" borderId="0"/>
    <xf numFmtId="9" fontId="20" fillId="0" borderId="0" applyFont="0" applyFill="0" applyBorder="0" applyAlignment="0" applyProtection="0"/>
    <xf numFmtId="0" fontId="21" fillId="2" borderId="1" applyNumberFormat="0" applyAlignment="0" applyProtection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15">
    <xf numFmtId="0" fontId="0" fillId="0" borderId="0" xfId="0"/>
    <xf numFmtId="0" fontId="0" fillId="0" borderId="0" xfId="0" applyAlignment="1">
      <alignment horizontal="center"/>
    </xf>
    <xf numFmtId="0" fontId="19" fillId="0" borderId="0" xfId="0" applyFont="1"/>
    <xf numFmtId="0" fontId="0" fillId="0" borderId="0" xfId="0" applyAlignment="1">
      <alignment horizontal="center" vertical="center"/>
    </xf>
    <xf numFmtId="0" fontId="24" fillId="0" borderId="0" xfId="0" applyFont="1"/>
    <xf numFmtId="0" fontId="22" fillId="0" borderId="0" xfId="0" applyFont="1" applyAlignment="1">
      <alignment horizontal="center"/>
    </xf>
    <xf numFmtId="2" fontId="0" fillId="0" borderId="0" xfId="2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30" fillId="0" borderId="0" xfId="0" applyFont="1"/>
    <xf numFmtId="0" fontId="23" fillId="0" borderId="0" xfId="0" applyFont="1"/>
    <xf numFmtId="0" fontId="34" fillId="0" borderId="0" xfId="0" applyFont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22" fillId="0" borderId="29" xfId="0" applyFont="1" applyBorder="1" applyAlignment="1">
      <alignment horizontal="center"/>
    </xf>
    <xf numFmtId="0" fontId="22" fillId="0" borderId="28" xfId="0" applyFont="1" applyBorder="1" applyAlignment="1">
      <alignment horizontal="center"/>
    </xf>
    <xf numFmtId="2" fontId="0" fillId="0" borderId="8" xfId="2" applyNumberFormat="1" applyFont="1" applyFill="1" applyBorder="1" applyAlignment="1">
      <alignment horizontal="center"/>
    </xf>
    <xf numFmtId="0" fontId="31" fillId="0" borderId="26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2" fontId="0" fillId="3" borderId="2" xfId="0" applyNumberFormat="1" applyFill="1" applyBorder="1" applyAlignment="1">
      <alignment horizontal="center" vertical="center"/>
    </xf>
    <xf numFmtId="2" fontId="0" fillId="3" borderId="2" xfId="2" applyNumberFormat="1" applyFont="1" applyFill="1" applyBorder="1" applyAlignment="1">
      <alignment horizontal="center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 vertical="center"/>
    </xf>
    <xf numFmtId="0" fontId="32" fillId="0" borderId="43" xfId="0" applyFont="1" applyBorder="1" applyAlignment="1">
      <alignment horizontal="center" vertical="center"/>
    </xf>
    <xf numFmtId="0" fontId="32" fillId="0" borderId="44" xfId="0" applyFont="1" applyBorder="1" applyAlignment="1">
      <alignment horizontal="center" vertical="center"/>
    </xf>
    <xf numFmtId="0" fontId="21" fillId="4" borderId="1" xfId="3" applyFill="1"/>
    <xf numFmtId="0" fontId="21" fillId="3" borderId="1" xfId="3" applyFill="1" applyAlignment="1">
      <alignment horizontal="left"/>
    </xf>
    <xf numFmtId="0" fontId="21" fillId="4" borderId="1" xfId="3" applyFill="1" applyAlignment="1">
      <alignment horizontal="left"/>
    </xf>
    <xf numFmtId="0" fontId="0" fillId="4" borderId="2" xfId="0" applyFill="1" applyBorder="1"/>
    <xf numFmtId="0" fontId="21" fillId="0" borderId="1" xfId="3" applyFill="1" applyAlignment="1">
      <alignment horizontal="left"/>
    </xf>
    <xf numFmtId="0" fontId="21" fillId="0" borderId="1" xfId="3" applyFill="1" applyAlignment="1">
      <alignment horizontal="center"/>
    </xf>
    <xf numFmtId="2" fontId="21" fillId="0" borderId="1" xfId="3" applyNumberFormat="1" applyFill="1" applyAlignment="1">
      <alignment horizontal="center"/>
    </xf>
    <xf numFmtId="2" fontId="21" fillId="0" borderId="1" xfId="2" applyNumberFormat="1" applyFont="1" applyFill="1" applyBorder="1" applyAlignment="1">
      <alignment horizontal="center"/>
    </xf>
    <xf numFmtId="0" fontId="21" fillId="4" borderId="45" xfId="3" applyFill="1" applyBorder="1"/>
    <xf numFmtId="0" fontId="36" fillId="0" borderId="0" xfId="0" applyFont="1"/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 wrapText="1"/>
    </xf>
    <xf numFmtId="0" fontId="21" fillId="3" borderId="45" xfId="3" applyFill="1" applyBorder="1" applyAlignment="1">
      <alignment horizontal="left"/>
    </xf>
    <xf numFmtId="0" fontId="21" fillId="4" borderId="45" xfId="3" applyFill="1" applyBorder="1" applyAlignment="1">
      <alignment horizontal="left"/>
    </xf>
    <xf numFmtId="0" fontId="1" fillId="0" borderId="0" xfId="19"/>
    <xf numFmtId="0" fontId="25" fillId="0" borderId="11" xfId="19" applyFont="1" applyBorder="1" applyAlignment="1">
      <alignment horizontal="center" wrapText="1"/>
    </xf>
    <xf numFmtId="0" fontId="25" fillId="0" borderId="11" xfId="19" applyFont="1" applyBorder="1" applyAlignment="1">
      <alignment horizontal="center" vertical="center" wrapText="1"/>
    </xf>
    <xf numFmtId="0" fontId="1" fillId="0" borderId="11" xfId="19" applyBorder="1" applyAlignment="1">
      <alignment horizontal="center" wrapText="1"/>
    </xf>
    <xf numFmtId="0" fontId="25" fillId="0" borderId="12" xfId="19" applyFont="1" applyBorder="1" applyAlignment="1">
      <alignment horizontal="center" vertical="center" wrapText="1"/>
    </xf>
    <xf numFmtId="0" fontId="25" fillId="0" borderId="16" xfId="19" applyFont="1" applyBorder="1" applyAlignment="1">
      <alignment horizontal="center" vertical="center" wrapText="1"/>
    </xf>
    <xf numFmtId="0" fontId="1" fillId="0" borderId="11" xfId="19" applyBorder="1" applyAlignment="1">
      <alignment horizontal="left" wrapText="1"/>
    </xf>
    <xf numFmtId="0" fontId="25" fillId="0" borderId="11" xfId="19" applyFont="1" applyBorder="1" applyAlignment="1">
      <alignment horizontal="left" wrapText="1"/>
    </xf>
    <xf numFmtId="0" fontId="1" fillId="0" borderId="17" xfId="19" applyBorder="1"/>
    <xf numFmtId="0" fontId="1" fillId="0" borderId="18" xfId="19" applyBorder="1"/>
    <xf numFmtId="0" fontId="1" fillId="0" borderId="19" xfId="19" applyBorder="1"/>
    <xf numFmtId="0" fontId="1" fillId="0" borderId="20" xfId="19" applyBorder="1"/>
    <xf numFmtId="0" fontId="1" fillId="0" borderId="21" xfId="19" applyBorder="1"/>
    <xf numFmtId="0" fontId="29" fillId="0" borderId="11" xfId="19" applyFont="1" applyBorder="1" applyAlignment="1">
      <alignment horizontal="left" wrapText="1"/>
    </xf>
    <xf numFmtId="0" fontId="36" fillId="0" borderId="2" xfId="0" applyFont="1" applyBorder="1" applyAlignment="1">
      <alignment horizontal="center" vertical="center" wrapText="1"/>
    </xf>
    <xf numFmtId="0" fontId="35" fillId="4" borderId="2" xfId="0" applyFont="1" applyFill="1" applyBorder="1" applyAlignment="1">
      <alignment horizontal="center" vertical="center" wrapText="1"/>
    </xf>
    <xf numFmtId="0" fontId="38" fillId="4" borderId="2" xfId="0" applyFont="1" applyFill="1" applyBorder="1" applyAlignment="1">
      <alignment horizontal="center" vertical="center" wrapText="1"/>
    </xf>
    <xf numFmtId="0" fontId="37" fillId="0" borderId="2" xfId="0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/>
    </xf>
    <xf numFmtId="0" fontId="21" fillId="4" borderId="46" xfId="3" applyFill="1" applyBorder="1" applyAlignment="1">
      <alignment horizontal="center" vertical="center" wrapText="1"/>
    </xf>
    <xf numFmtId="0" fontId="21" fillId="4" borderId="7" xfId="3" applyFill="1" applyBorder="1" applyAlignment="1">
      <alignment horizontal="center" vertical="center" wrapText="1"/>
    </xf>
    <xf numFmtId="0" fontId="21" fillId="4" borderId="6" xfId="3" applyFill="1" applyBorder="1" applyAlignment="1">
      <alignment horizontal="center" vertical="center" wrapText="1"/>
    </xf>
    <xf numFmtId="0" fontId="31" fillId="4" borderId="2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32" fillId="0" borderId="41" xfId="0" applyFont="1" applyBorder="1" applyAlignment="1">
      <alignment horizontal="center" vertical="center"/>
    </xf>
    <xf numFmtId="0" fontId="32" fillId="0" borderId="42" xfId="0" applyFont="1" applyBorder="1" applyAlignment="1">
      <alignment horizontal="center" vertical="center"/>
    </xf>
    <xf numFmtId="0" fontId="34" fillId="0" borderId="30" xfId="0" applyFont="1" applyBorder="1" applyAlignment="1">
      <alignment horizontal="center" vertical="center" wrapText="1"/>
    </xf>
    <xf numFmtId="0" fontId="34" fillId="0" borderId="31" xfId="0" applyFont="1" applyBorder="1" applyAlignment="1">
      <alignment horizontal="center" vertical="center" wrapText="1"/>
    </xf>
    <xf numFmtId="0" fontId="34" fillId="0" borderId="36" xfId="0" applyFont="1" applyBorder="1" applyAlignment="1">
      <alignment horizontal="center" vertical="center" wrapText="1"/>
    </xf>
    <xf numFmtId="0" fontId="34" fillId="0" borderId="37" xfId="0" applyFont="1" applyBorder="1" applyAlignment="1">
      <alignment horizontal="center" vertical="center" wrapText="1"/>
    </xf>
    <xf numFmtId="0" fontId="22" fillId="4" borderId="3" xfId="0" applyFont="1" applyFill="1" applyBorder="1" applyAlignment="1">
      <alignment horizontal="center"/>
    </xf>
    <xf numFmtId="0" fontId="22" fillId="4" borderId="4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0" fontId="22" fillId="5" borderId="5" xfId="0" applyFont="1" applyFill="1" applyBorder="1" applyAlignment="1">
      <alignment horizontal="center"/>
    </xf>
    <xf numFmtId="0" fontId="34" fillId="0" borderId="32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center" vertical="center" wrapText="1"/>
    </xf>
    <xf numFmtId="0" fontId="34" fillId="0" borderId="33" xfId="0" applyFont="1" applyBorder="1" applyAlignment="1">
      <alignment horizontal="center" vertical="center" wrapText="1"/>
    </xf>
    <xf numFmtId="0" fontId="34" fillId="0" borderId="35" xfId="0" applyFont="1" applyBorder="1" applyAlignment="1">
      <alignment horizontal="center" vertical="center" wrapText="1"/>
    </xf>
    <xf numFmtId="0" fontId="34" fillId="0" borderId="38" xfId="0" applyFont="1" applyBorder="1" applyAlignment="1">
      <alignment horizontal="center" vertical="center" wrapText="1"/>
    </xf>
    <xf numFmtId="0" fontId="34" fillId="0" borderId="34" xfId="0" applyFont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 wrapText="1"/>
    </xf>
    <xf numFmtId="0" fontId="34" fillId="0" borderId="39" xfId="0" applyFont="1" applyBorder="1" applyAlignment="1">
      <alignment horizontal="center" vertical="center" wrapText="1"/>
    </xf>
    <xf numFmtId="0" fontId="34" fillId="0" borderId="40" xfId="0" applyFont="1" applyBorder="1" applyAlignment="1">
      <alignment horizontal="center" vertical="center" wrapText="1"/>
    </xf>
    <xf numFmtId="0" fontId="18" fillId="4" borderId="8" xfId="0" applyFont="1" applyFill="1" applyBorder="1" applyAlignment="1">
      <alignment horizontal="center" vertical="center" wrapText="1"/>
    </xf>
    <xf numFmtId="0" fontId="18" fillId="4" borderId="9" xfId="0" applyFont="1" applyFill="1" applyBorder="1" applyAlignment="1">
      <alignment horizontal="center" vertical="center" wrapText="1"/>
    </xf>
    <xf numFmtId="0" fontId="18" fillId="4" borderId="10" xfId="0" applyFont="1" applyFill="1" applyBorder="1" applyAlignment="1">
      <alignment horizontal="center" vertical="center" wrapText="1"/>
    </xf>
    <xf numFmtId="0" fontId="22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22" fillId="4" borderId="27" xfId="0" applyFont="1" applyFill="1" applyBorder="1" applyAlignment="1">
      <alignment horizontal="center"/>
    </xf>
    <xf numFmtId="0" fontId="22" fillId="4" borderId="26" xfId="0" applyFont="1" applyFill="1" applyBorder="1" applyAlignment="1">
      <alignment horizontal="center"/>
    </xf>
    <xf numFmtId="0" fontId="0" fillId="5" borderId="3" xfId="0" applyFill="1" applyBorder="1" applyAlignment="1">
      <alignment horizontal="center" wrapText="1"/>
    </xf>
    <xf numFmtId="0" fontId="0" fillId="5" borderId="5" xfId="0" applyFill="1" applyBorder="1" applyAlignment="1">
      <alignment horizontal="center" wrapText="1"/>
    </xf>
    <xf numFmtId="0" fontId="0" fillId="5" borderId="2" xfId="0" applyFill="1" applyBorder="1" applyAlignment="1">
      <alignment horizontal="center" wrapText="1"/>
    </xf>
    <xf numFmtId="0" fontId="27" fillId="0" borderId="0" xfId="19" applyFont="1" applyAlignment="1">
      <alignment horizontal="center" wrapText="1"/>
    </xf>
    <xf numFmtId="0" fontId="1" fillId="0" borderId="0" xfId="19"/>
    <xf numFmtId="0" fontId="26" fillId="0" borderId="0" xfId="19" applyFont="1" applyAlignment="1">
      <alignment horizontal="center" wrapText="1"/>
    </xf>
    <xf numFmtId="0" fontId="25" fillId="0" borderId="15" xfId="19" applyFont="1" applyBorder="1" applyAlignment="1">
      <alignment horizontal="center" vertical="center" wrapText="1"/>
    </xf>
    <xf numFmtId="0" fontId="25" fillId="0" borderId="14" xfId="19" applyFont="1" applyBorder="1" applyAlignment="1">
      <alignment horizontal="center" vertical="center" wrapText="1"/>
    </xf>
    <xf numFmtId="0" fontId="25" fillId="0" borderId="13" xfId="19" applyFont="1" applyBorder="1" applyAlignment="1">
      <alignment horizontal="center" vertical="center" wrapText="1"/>
    </xf>
    <xf numFmtId="0" fontId="25" fillId="0" borderId="16" xfId="19" applyFont="1" applyBorder="1" applyAlignment="1">
      <alignment horizontal="center" vertical="center" wrapText="1"/>
    </xf>
    <xf numFmtId="0" fontId="25" fillId="0" borderId="12" xfId="19" applyFont="1" applyBorder="1" applyAlignment="1">
      <alignment horizontal="center" vertical="center" wrapText="1"/>
    </xf>
    <xf numFmtId="0" fontId="25" fillId="0" borderId="22" xfId="19" applyFont="1" applyBorder="1" applyAlignment="1">
      <alignment horizontal="center" vertical="center" wrapText="1"/>
    </xf>
    <xf numFmtId="0" fontId="25" fillId="0" borderId="25" xfId="19" applyFont="1" applyBorder="1" applyAlignment="1">
      <alignment horizontal="center" vertical="center" wrapText="1"/>
    </xf>
    <xf numFmtId="0" fontId="25" fillId="0" borderId="24" xfId="19" applyFont="1" applyBorder="1" applyAlignment="1">
      <alignment horizontal="center" vertical="center" wrapText="1"/>
    </xf>
    <xf numFmtId="0" fontId="25" fillId="0" borderId="23" xfId="19" applyFont="1" applyBorder="1" applyAlignment="1">
      <alignment horizontal="center" vertical="center" wrapText="1"/>
    </xf>
    <xf numFmtId="0" fontId="25" fillId="0" borderId="19" xfId="19" applyFont="1" applyBorder="1" applyAlignment="1">
      <alignment horizontal="center" vertical="center" wrapText="1"/>
    </xf>
    <xf numFmtId="0" fontId="25" fillId="0" borderId="18" xfId="19" applyFont="1" applyBorder="1" applyAlignment="1">
      <alignment horizontal="center" vertical="center" wrapText="1"/>
    </xf>
    <xf numFmtId="0" fontId="25" fillId="0" borderId="17" xfId="19" applyFont="1" applyBorder="1" applyAlignment="1">
      <alignment horizontal="center" vertical="center" wrapText="1"/>
    </xf>
  </cellXfs>
  <cellStyles count="20">
    <cellStyle name="Dane wyjściowe" xfId="3" builtinId="21"/>
    <cellStyle name="Normalny" xfId="0" builtinId="0"/>
    <cellStyle name="Normalny 10" xfId="11" xr:uid="{A7B5A684-FC35-46D2-8530-EC89CEA83653}"/>
    <cellStyle name="Normalny 11" xfId="12" xr:uid="{38C3499D-0338-43E8-A24A-8FFCA64C0209}"/>
    <cellStyle name="Normalny 12" xfId="13" xr:uid="{FA6DCE8F-88E0-465D-BAB3-B1440DF65DD5}"/>
    <cellStyle name="Normalny 13" xfId="14" xr:uid="{9B4D129B-D231-4D7F-BD9A-6B48724486FA}"/>
    <cellStyle name="Normalny 14" xfId="15" xr:uid="{D0548096-C429-4455-9344-0FA5DCD4F69F}"/>
    <cellStyle name="Normalny 15" xfId="16" xr:uid="{23502385-84C0-4AE8-80B3-30BD591F9194}"/>
    <cellStyle name="Normalny 16" xfId="17" xr:uid="{5051E04A-36CA-4D3B-B1C2-0C5BD1AC0C05}"/>
    <cellStyle name="Normalny 17" xfId="18" xr:uid="{F75B8A6A-DEF8-4BFE-A555-689A4747BA03}"/>
    <cellStyle name="Normalny 18" xfId="19" xr:uid="{C0AC343D-A607-4557-8A3C-1D7BA31F3157}"/>
    <cellStyle name="Normalny 2" xfId="1" xr:uid="{FB2BD111-DB52-4DB5-B40C-3207CB52F103}"/>
    <cellStyle name="Normalny 3" xfId="4" xr:uid="{6C555E0D-ECBD-4E14-B695-661434546187}"/>
    <cellStyle name="Normalny 4" xfId="5" xr:uid="{17E3C254-50A2-4491-B701-B3D00CD6C8D2}"/>
    <cellStyle name="Normalny 5" xfId="6" xr:uid="{F7327639-E4BF-4A36-9B8A-7C8F423EA734}"/>
    <cellStyle name="Normalny 6" xfId="7" xr:uid="{D0D1283E-12B0-4564-B628-990EBB714989}"/>
    <cellStyle name="Normalny 7" xfId="8" xr:uid="{33894AAD-1295-493D-8C9F-312FA8598868}"/>
    <cellStyle name="Normalny 8" xfId="9" xr:uid="{6D0FED16-5382-42EA-BDFF-6CD8F63B83DB}"/>
    <cellStyle name="Normalny 9" xfId="10" xr:uid="{52B63889-753F-4281-A424-2FE3E511C586}"/>
    <cellStyle name="Procentowy" xfId="2" builtinId="5"/>
  </cellStyles>
  <dxfs count="4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b/>
        <i val="0"/>
        <color theme="6" tint="-0.24994659260841701"/>
      </font>
    </dxf>
    <dxf>
      <font>
        <b/>
        <i val="0"/>
        <color rgb="FFC00000"/>
      </font>
    </dxf>
    <dxf>
      <font>
        <b/>
        <i val="0"/>
        <color theme="6" tint="-0.24994659260841701"/>
      </font>
    </dxf>
    <dxf>
      <font>
        <b/>
        <i/>
        <color rgb="FFC00000"/>
      </font>
    </dxf>
    <dxf>
      <font>
        <b/>
        <i/>
        <color theme="6" tint="-0.24994659260841701"/>
      </font>
    </dxf>
    <dxf>
      <font>
        <b/>
        <i/>
        <color rgb="FFC00000"/>
      </font>
    </dxf>
    <dxf>
      <font>
        <b/>
        <i/>
        <color theme="6" tint="-0.24994659260841701"/>
      </font>
    </dxf>
    <dxf>
      <font>
        <b/>
        <i/>
        <color rgb="FFC00000"/>
      </font>
    </dxf>
    <dxf>
      <font>
        <b/>
        <i val="0"/>
        <color theme="6" tint="-0.2499465926084170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pl-PL"/>
              <a:t>Wskaźnik cyklu zapasów</a:t>
            </a:r>
          </a:p>
        </c:rich>
      </c:tx>
      <c:layout>
        <c:manualLayout>
          <c:xMode val="edge"/>
          <c:yMode val="edge"/>
          <c:x val="0.2392652165729956"/>
          <c:y val="3.1822251367884011E-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l-PL"/>
        </a:p>
      </c:txPr>
    </c:title>
    <c:autoTitleDeleted val="0"/>
    <c:view3D>
      <c:rotX val="15"/>
      <c:hPercent val="100"/>
      <c:rotY val="20"/>
      <c:depthPercent val="100"/>
      <c:rAngAx val="0"/>
    </c:view3D>
    <c:floor>
      <c:thickness val="0"/>
      <c:spPr>
        <a:solidFill>
          <a:srgbClr val="C0C0C0"/>
        </a:solidFill>
        <a:ln w="3175" cap="flat" cmpd="sng" algn="ctr">
          <a:solidFill>
            <a:srgbClr val="000000"/>
          </a:solidFill>
          <a:prstDash val="solid"/>
          <a:round/>
        </a:ln>
        <a:effectLst/>
        <a:sp3d contourW="3175">
          <a:contourClr>
            <a:srgbClr val="000000"/>
          </a:contourClr>
        </a:sp3d>
      </c:spPr>
    </c:floor>
    <c:sideWall>
      <c:thickness val="0"/>
      <c:spPr>
        <a:solidFill>
          <a:srgbClr val="FFFFFF"/>
        </a:solidFill>
        <a:ln w="25400">
          <a:noFill/>
        </a:ln>
        <a:effectLst/>
        <a:sp3d/>
      </c:spPr>
    </c:sideWall>
    <c:backWall>
      <c:thickness val="0"/>
      <c:spPr>
        <a:solidFill>
          <a:srgbClr val="FFFFFF"/>
        </a:solidFill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5463605603516431"/>
          <c:y val="0.17922899277229987"/>
          <c:w val="0.68946060769622419"/>
          <c:h val="0.5305176480836632"/>
        </c:manualLayout>
      </c:layout>
      <c:bar3DChart>
        <c:barDir val="col"/>
        <c:grouping val="standar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numRef>
              <c:f>MENU!$D$28:$F$28</c:f>
              <c:numCache>
                <c:formatCode>General</c:formatCod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numCache>
            </c:numRef>
          </c:cat>
          <c:val>
            <c:numRef>
              <c:f>MENU!$D$32:$F$32</c:f>
              <c:numCache>
                <c:formatCode>0.00</c:formatCode>
                <c:ptCount val="3"/>
                <c:pt idx="0">
                  <c:v>235.32746370095771</c:v>
                </c:pt>
                <c:pt idx="1">
                  <c:v>158.88548990959731</c:v>
                </c:pt>
                <c:pt idx="2">
                  <c:v>38.780215151318771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8-4BEA-B537-358B0ECC6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8556416"/>
        <c:axId val="128566400"/>
        <c:axId val="60408704"/>
      </c:bar3DChart>
      <c:catAx>
        <c:axId val="128556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l-PL"/>
          </a:p>
        </c:txPr>
        <c:crossAx val="128566400"/>
        <c:crosses val="autoZero"/>
        <c:auto val="1"/>
        <c:lblAlgn val="ctr"/>
        <c:lblOffset val="100"/>
        <c:noMultiLvlLbl val="0"/>
      </c:catAx>
      <c:valAx>
        <c:axId val="12856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l-PL"/>
          </a:p>
        </c:txPr>
        <c:crossAx val="128556416"/>
        <c:crosses val="autoZero"/>
        <c:crossBetween val="between"/>
      </c:valAx>
      <c:serAx>
        <c:axId val="60408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l-PL"/>
          </a:p>
        </c:txPr>
        <c:crossAx val="128566400"/>
        <c:crosses val="autoZero"/>
        <c:tickLblSkip val="1"/>
        <c:tickMarkSkip val="1"/>
      </c:serAx>
      <c:dTable>
        <c:showHorzBorder val="1"/>
        <c:showVertBorder val="1"/>
        <c:showOutline val="1"/>
        <c:showKeys val="1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l-PL"/>
          </a:p>
        </c:txPr>
      </c:dTable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l-PL"/>
    </a:p>
  </c:txPr>
  <c:printSettings>
    <c:headerFooter/>
    <c:pageMargins b="0.75000000000000044" l="0.7000000000000004" r="0.7000000000000004" t="0.75000000000000044" header="0.30000000000000021" footer="0.30000000000000021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pl-PL"/>
              <a:t>Wskaźnik cyklu należności</a:t>
            </a:r>
          </a:p>
        </c:rich>
      </c:tx>
      <c:layout>
        <c:manualLayout>
          <c:xMode val="edge"/>
          <c:yMode val="edge"/>
          <c:x val="0.31268617532362275"/>
          <c:y val="4.3894244584534246E-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l-PL"/>
        </a:p>
      </c:txPr>
    </c:title>
    <c:autoTitleDeleted val="0"/>
    <c:view3D>
      <c:rotX val="15"/>
      <c:hPercent val="100"/>
      <c:rotY val="20"/>
      <c:depthPercent val="100"/>
      <c:rAngAx val="0"/>
    </c:view3D>
    <c:floor>
      <c:thickness val="0"/>
      <c:spPr>
        <a:solidFill>
          <a:srgbClr val="C0C0C0"/>
        </a:solidFill>
        <a:ln w="3175" cap="flat" cmpd="sng" algn="ctr">
          <a:solidFill>
            <a:srgbClr val="000000"/>
          </a:solidFill>
          <a:prstDash val="solid"/>
          <a:round/>
        </a:ln>
        <a:effectLst/>
        <a:sp3d contourW="3175">
          <a:contourClr>
            <a:srgbClr val="000000"/>
          </a:contourClr>
        </a:sp3d>
      </c:spPr>
    </c:floor>
    <c:sideWall>
      <c:thickness val="0"/>
      <c:spPr>
        <a:solidFill>
          <a:srgbClr val="FFFFFF"/>
        </a:solidFill>
        <a:ln w="25400">
          <a:noFill/>
        </a:ln>
        <a:effectLst/>
        <a:sp3d/>
      </c:spPr>
    </c:sideWall>
    <c:backWall>
      <c:thickness val="0"/>
      <c:spPr>
        <a:solidFill>
          <a:srgbClr val="FFFFFF"/>
        </a:solidFill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6906819782220786"/>
          <c:y val="0.21866750124420484"/>
          <c:w val="0.68946060769622419"/>
          <c:h val="0.5305176480836632"/>
        </c:manualLayout>
      </c:layout>
      <c:bar3DChart>
        <c:barDir val="col"/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MENU!$D$44:$F$44</c:f>
              <c:numCache>
                <c:formatCode>General</c:formatCod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numCache>
            </c:numRef>
          </c:cat>
          <c:val>
            <c:numRef>
              <c:f>MENU!$D$48:$F$48</c:f>
              <c:numCache>
                <c:formatCode>0.00</c:formatCode>
                <c:ptCount val="3"/>
                <c:pt idx="0">
                  <c:v>0.95844918134074775</c:v>
                </c:pt>
                <c:pt idx="1">
                  <c:v>-0.43329376312665513</c:v>
                </c:pt>
                <c:pt idx="2">
                  <c:v>41.807886721534572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1F-4DD2-80BC-FB6C68514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8556416"/>
        <c:axId val="128566400"/>
        <c:axId val="60408704"/>
      </c:bar3DChart>
      <c:catAx>
        <c:axId val="128556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l-PL"/>
          </a:p>
        </c:txPr>
        <c:crossAx val="128566400"/>
        <c:crosses val="autoZero"/>
        <c:auto val="1"/>
        <c:lblAlgn val="ctr"/>
        <c:lblOffset val="100"/>
        <c:noMultiLvlLbl val="0"/>
      </c:catAx>
      <c:valAx>
        <c:axId val="12856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l-PL"/>
          </a:p>
        </c:txPr>
        <c:crossAx val="128556416"/>
        <c:crosses val="autoZero"/>
        <c:crossBetween val="between"/>
      </c:valAx>
      <c:serAx>
        <c:axId val="60408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l-PL"/>
          </a:p>
        </c:txPr>
        <c:crossAx val="128566400"/>
        <c:crosses val="autoZero"/>
        <c:tickLblSkip val="1"/>
        <c:tickMarkSkip val="1"/>
      </c:serAx>
      <c:dTable>
        <c:showHorzBorder val="1"/>
        <c:showVertBorder val="1"/>
        <c:showOutline val="1"/>
        <c:showKeys val="1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l-PL"/>
          </a:p>
        </c:txPr>
      </c:dTable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l-PL"/>
    </a:p>
  </c:txPr>
  <c:printSettings>
    <c:headerFooter/>
    <c:pageMargins b="0.75000000000000044" l="0.7000000000000004" r="0.7000000000000004" t="0.75000000000000044" header="0.30000000000000021" footer="0.30000000000000021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pl-PL"/>
              <a:t>Wskaźnik cyklu zobowiązań</a:t>
            </a:r>
          </a:p>
        </c:rich>
      </c:tx>
      <c:layout>
        <c:manualLayout>
          <c:xMode val="edge"/>
          <c:yMode val="edge"/>
          <c:x val="0.33344905826040794"/>
          <c:y val="4.8869181933420644E-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l-PL"/>
        </a:p>
      </c:txPr>
    </c:title>
    <c:autoTitleDeleted val="0"/>
    <c:view3D>
      <c:rotX val="15"/>
      <c:hPercent val="100"/>
      <c:rotY val="20"/>
      <c:depthPercent val="100"/>
      <c:rAngAx val="0"/>
    </c:view3D>
    <c:floor>
      <c:thickness val="0"/>
      <c:spPr>
        <a:solidFill>
          <a:srgbClr val="C0C0C0"/>
        </a:solidFill>
        <a:ln w="3175" cap="flat" cmpd="sng" algn="ctr">
          <a:solidFill>
            <a:srgbClr val="000000"/>
          </a:solidFill>
          <a:prstDash val="solid"/>
          <a:round/>
        </a:ln>
        <a:effectLst/>
        <a:sp3d contourW="3175">
          <a:contourClr>
            <a:srgbClr val="000000"/>
          </a:contourClr>
        </a:sp3d>
      </c:spPr>
    </c:floor>
    <c:sideWall>
      <c:thickness val="0"/>
      <c:spPr>
        <a:solidFill>
          <a:srgbClr val="FFFFFF"/>
        </a:solidFill>
        <a:ln w="25400">
          <a:noFill/>
        </a:ln>
        <a:effectLst/>
        <a:sp3d/>
      </c:spPr>
    </c:sideWall>
    <c:backWall>
      <c:thickness val="0"/>
      <c:spPr>
        <a:solidFill>
          <a:srgbClr val="FFFFFF"/>
        </a:solidFill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6756191896920858"/>
          <c:y val="0.17477165354330709"/>
          <c:w val="0.70452026835358916"/>
          <c:h val="0.60266191175000916"/>
        </c:manualLayout>
      </c:layout>
      <c:bar3DChart>
        <c:barDir val="col"/>
        <c:grouping val="standar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MENU!$D$60:$F$60</c:f>
              <c:numCache>
                <c:formatCode>General</c:formatCod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numCache>
            </c:numRef>
          </c:cat>
          <c:val>
            <c:numRef>
              <c:f>MENU!$D$64:$F$64</c:f>
              <c:numCache>
                <c:formatCode>0.00</c:formatCode>
                <c:ptCount val="3"/>
                <c:pt idx="0">
                  <c:v>992.84059314179797</c:v>
                </c:pt>
                <c:pt idx="1">
                  <c:v>663.57273308373658</c:v>
                </c:pt>
                <c:pt idx="2">
                  <c:v>265.63087291815174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E9-4B34-8BEF-02EE3F9B1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8556416"/>
        <c:axId val="128566400"/>
        <c:axId val="60408704"/>
      </c:bar3DChart>
      <c:catAx>
        <c:axId val="128556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l-PL"/>
          </a:p>
        </c:txPr>
        <c:crossAx val="128566400"/>
        <c:crosses val="autoZero"/>
        <c:auto val="1"/>
        <c:lblAlgn val="ctr"/>
        <c:lblOffset val="100"/>
        <c:noMultiLvlLbl val="0"/>
      </c:catAx>
      <c:valAx>
        <c:axId val="12856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l-PL"/>
          </a:p>
        </c:txPr>
        <c:crossAx val="128556416"/>
        <c:crosses val="autoZero"/>
        <c:crossBetween val="between"/>
      </c:valAx>
      <c:serAx>
        <c:axId val="60408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l-PL"/>
          </a:p>
        </c:txPr>
        <c:crossAx val="128566400"/>
        <c:crosses val="autoZero"/>
        <c:tickLblSkip val="1"/>
        <c:tickMarkSkip val="1"/>
      </c:serAx>
      <c:dTable>
        <c:showHorzBorder val="1"/>
        <c:showVertBorder val="1"/>
        <c:showOutline val="1"/>
        <c:showKeys val="1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l-PL"/>
          </a:p>
        </c:txPr>
      </c:dTable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l-PL"/>
    </a:p>
  </c:txPr>
  <c:printSettings>
    <c:headerFooter/>
    <c:pageMargins b="0.75000000000000044" l="0.7000000000000004" r="0.7000000000000004" t="0.75000000000000044" header="0.30000000000000021" footer="0.30000000000000021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CheckBox" checked="Checked" fmlaLink="$D$4" lockText="1" noThreeD="1"/>
</file>

<file path=xl/ctrlProps/ctrlProp12.xml><?xml version="1.0" encoding="utf-8"?>
<formControlPr xmlns="http://schemas.microsoft.com/office/spreadsheetml/2009/9/main" objectType="CheckBox" checked="Checked" fmlaLink="$D$5" lockText="1" noThreeD="1"/>
</file>

<file path=xl/ctrlProps/ctrlProp13.xml><?xml version="1.0" encoding="utf-8"?>
<formControlPr xmlns="http://schemas.microsoft.com/office/spreadsheetml/2009/9/main" objectType="CheckBox" checked="Checked" fmlaLink="$D$6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1</xdr:row>
          <xdr:rowOff>23813</xdr:rowOff>
        </xdr:from>
        <xdr:to>
          <xdr:col>16</xdr:col>
          <xdr:colOff>90488</xdr:colOff>
          <xdr:row>2</xdr:row>
          <xdr:rowOff>685800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96012" rIns="82296" bIns="96012" anchor="ctr" upright="1"/>
            <a:lstStyle/>
            <a:p>
              <a:pPr algn="ctr" rtl="0">
                <a:defRPr sz="1000"/>
              </a:pPr>
              <a:r>
                <a:rPr lang="pl-PL" sz="2400" b="1" i="0" u="none" strike="noStrike" baseline="0">
                  <a:solidFill>
                    <a:srgbClr val="000000"/>
                  </a:solidFill>
                  <a:latin typeface="Aptos Narrow"/>
                </a:rPr>
                <a:t>Przejdź do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30284</xdr:colOff>
      <xdr:row>26</xdr:row>
      <xdr:rowOff>97691</xdr:rowOff>
    </xdr:from>
    <xdr:to>
      <xdr:col>12</xdr:col>
      <xdr:colOff>787644</xdr:colOff>
      <xdr:row>40</xdr:row>
      <xdr:rowOff>170962</xdr:rowOff>
    </xdr:to>
    <xdr:graphicFrame macro="[0]!Przycisk1_Click">
      <xdr:nvGraphicFramePr>
        <xdr:cNvPr id="2" name="Wykres 1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57394</xdr:colOff>
      <xdr:row>41</xdr:row>
      <xdr:rowOff>164855</xdr:rowOff>
    </xdr:from>
    <xdr:to>
      <xdr:col>12</xdr:col>
      <xdr:colOff>799856</xdr:colOff>
      <xdr:row>58</xdr:row>
      <xdr:rowOff>6106</xdr:rowOff>
    </xdr:to>
    <xdr:graphicFrame macro="">
      <xdr:nvGraphicFramePr>
        <xdr:cNvPr id="3" name="Wykres 2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62643</xdr:colOff>
      <xdr:row>58</xdr:row>
      <xdr:rowOff>158749</xdr:rowOff>
    </xdr:from>
    <xdr:to>
      <xdr:col>12</xdr:col>
      <xdr:colOff>812066</xdr:colOff>
      <xdr:row>73</xdr:row>
      <xdr:rowOff>109903</xdr:rowOff>
    </xdr:to>
    <xdr:graphicFrame macro="">
      <xdr:nvGraphicFramePr>
        <xdr:cNvPr id="4" name="Wykres 3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471488</xdr:colOff>
          <xdr:row>26</xdr:row>
          <xdr:rowOff>38100</xdr:rowOff>
        </xdr:from>
        <xdr:to>
          <xdr:col>6</xdr:col>
          <xdr:colOff>1881188</xdr:colOff>
          <xdr:row>28</xdr:row>
          <xdr:rowOff>61913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Wyświetl wykres cyklu zapasów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471488</xdr:colOff>
          <xdr:row>29</xdr:row>
          <xdr:rowOff>61913</xdr:rowOff>
        </xdr:from>
        <xdr:to>
          <xdr:col>6</xdr:col>
          <xdr:colOff>1881188</xdr:colOff>
          <xdr:row>32</xdr:row>
          <xdr:rowOff>38100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Ukryj wykres cyklu zapasów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471488</xdr:colOff>
          <xdr:row>42</xdr:row>
          <xdr:rowOff>23813</xdr:rowOff>
        </xdr:from>
        <xdr:to>
          <xdr:col>6</xdr:col>
          <xdr:colOff>1852613</xdr:colOff>
          <xdr:row>45</xdr:row>
          <xdr:rowOff>100013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Wyświetl wykres cyklu należności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442913</xdr:colOff>
          <xdr:row>45</xdr:row>
          <xdr:rowOff>138113</xdr:rowOff>
        </xdr:from>
        <xdr:to>
          <xdr:col>6</xdr:col>
          <xdr:colOff>1843088</xdr:colOff>
          <xdr:row>48</xdr:row>
          <xdr:rowOff>166688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Ukryj wykres cyklu należności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471488</xdr:colOff>
          <xdr:row>58</xdr:row>
          <xdr:rowOff>100013</xdr:rowOff>
        </xdr:from>
        <xdr:to>
          <xdr:col>6</xdr:col>
          <xdr:colOff>1843088</xdr:colOff>
          <xdr:row>61</xdr:row>
          <xdr:rowOff>100013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Wyświetl wykres cyklu zobowiązań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471488</xdr:colOff>
          <xdr:row>61</xdr:row>
          <xdr:rowOff>152400</xdr:rowOff>
        </xdr:from>
        <xdr:to>
          <xdr:col>6</xdr:col>
          <xdr:colOff>1843088</xdr:colOff>
          <xdr:row>65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Ukryj wykres cyklu zobowiązań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61913</xdr:colOff>
          <xdr:row>21</xdr:row>
          <xdr:rowOff>14288</xdr:rowOff>
        </xdr:from>
        <xdr:to>
          <xdr:col>8</xdr:col>
          <xdr:colOff>176213</xdr:colOff>
          <xdr:row>25</xdr:row>
          <xdr:rowOff>176213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pl-PL" sz="1600" b="1" i="0" u="none" strike="noStrike" baseline="0">
                  <a:solidFill>
                    <a:srgbClr val="000000"/>
                  </a:solidFill>
                  <a:latin typeface="Czcionka tekstu podstawowego"/>
                </a:rPr>
                <a:t>Pokaż wszystkie wykresy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242888</xdr:colOff>
          <xdr:row>20</xdr:row>
          <xdr:rowOff>166688</xdr:rowOff>
        </xdr:from>
        <xdr:to>
          <xdr:col>10</xdr:col>
          <xdr:colOff>38100</xdr:colOff>
          <xdr:row>25</xdr:row>
          <xdr:rowOff>176213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pl-PL" sz="1600" b="1" i="0" u="none" strike="noStrike" baseline="0">
                  <a:solidFill>
                    <a:srgbClr val="000000"/>
                  </a:solidFill>
                  <a:latin typeface="Czcionka tekstu podstawowego"/>
                </a:rPr>
                <a:t>Ukryj wszystkie wykresy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0</xdr:row>
          <xdr:rowOff>114300</xdr:rowOff>
        </xdr:from>
        <xdr:to>
          <xdr:col>7</xdr:col>
          <xdr:colOff>1243013</xdr:colOff>
          <xdr:row>5</xdr:row>
          <xdr:rowOff>152400</xdr:rowOff>
        </xdr:to>
        <xdr:sp macro="" textlink="">
          <xdr:nvSpPr>
            <xdr:cNvPr id="2070" name="Przycisk_wczytywania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pl-PL" sz="2000" b="1" i="0" u="none" strike="noStrike" baseline="0">
                  <a:solidFill>
                    <a:srgbClr val="008000"/>
                  </a:solidFill>
                  <a:latin typeface="Czcionka tekstu podstawowego"/>
                </a:rPr>
                <a:t>Wczytaj dane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280988</xdr:colOff>
          <xdr:row>2</xdr:row>
          <xdr:rowOff>166688</xdr:rowOff>
        </xdr:from>
        <xdr:to>
          <xdr:col>2</xdr:col>
          <xdr:colOff>1166813</xdr:colOff>
          <xdr:row>4</xdr:row>
          <xdr:rowOff>52388</xdr:rowOff>
        </xdr:to>
        <xdr:sp macro="" textlink="">
          <xdr:nvSpPr>
            <xdr:cNvPr id="2079" name="CkeckBox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Bilans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290513</xdr:colOff>
          <xdr:row>3</xdr:row>
          <xdr:rowOff>152400</xdr:rowOff>
        </xdr:from>
        <xdr:to>
          <xdr:col>2</xdr:col>
          <xdr:colOff>1166813</xdr:colOff>
          <xdr:row>5</xdr:row>
          <xdr:rowOff>38100</xdr:rowOff>
        </xdr:to>
        <xdr:sp macro="" textlink="">
          <xdr:nvSpPr>
            <xdr:cNvPr id="2080" name="ChechBox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RZiS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290513</xdr:colOff>
          <xdr:row>4</xdr:row>
          <xdr:rowOff>152400</xdr:rowOff>
        </xdr:from>
        <xdr:to>
          <xdr:col>2</xdr:col>
          <xdr:colOff>1166813</xdr:colOff>
          <xdr:row>6</xdr:row>
          <xdr:rowOff>38100</xdr:rowOff>
        </xdr:to>
        <xdr:sp macro="" textlink="">
          <xdr:nvSpPr>
            <xdr:cNvPr id="2081" name="CheckBox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RPP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1357313</xdr:colOff>
          <xdr:row>0</xdr:row>
          <xdr:rowOff>90488</xdr:rowOff>
        </xdr:from>
        <xdr:to>
          <xdr:col>9</xdr:col>
          <xdr:colOff>176213</xdr:colOff>
          <xdr:row>5</xdr:row>
          <xdr:rowOff>128588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pl-PL" sz="2000" b="1" i="0" u="none" strike="noStrike" baseline="0">
                  <a:solidFill>
                    <a:srgbClr val="993300"/>
                  </a:solidFill>
                  <a:latin typeface="Czcionka tekstu podstawowego"/>
                </a:rPr>
                <a:t>Usuń dane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6</xdr:row>
          <xdr:rowOff>23813</xdr:rowOff>
        </xdr:from>
        <xdr:to>
          <xdr:col>7</xdr:col>
          <xdr:colOff>1219200</xdr:colOff>
          <xdr:row>8</xdr:row>
          <xdr:rowOff>166688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zcionka tekstu podstawowego"/>
                </a:rPr>
                <a:t>Zaznacz wszystkie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14288</xdr:rowOff>
        </xdr:from>
        <xdr:to>
          <xdr:col>9</xdr:col>
          <xdr:colOff>128588</xdr:colOff>
          <xdr:row>8</xdr:row>
          <xdr:rowOff>166688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zcionka tekstu podstawowego"/>
                </a:rPr>
                <a:t>Odznacz wszystkie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814388</xdr:colOff>
          <xdr:row>0</xdr:row>
          <xdr:rowOff>176213</xdr:rowOff>
        </xdr:from>
        <xdr:to>
          <xdr:col>12</xdr:col>
          <xdr:colOff>419100</xdr:colOff>
          <xdr:row>8</xdr:row>
          <xdr:rowOff>14288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96012" rIns="82296" bIns="96012" anchor="ctr" upright="1"/>
            <a:lstStyle/>
            <a:p>
              <a:pPr algn="ctr" rtl="0">
                <a:defRPr sz="1000"/>
              </a:pPr>
              <a:r>
                <a:rPr lang="pl-PL" sz="2400" b="1" i="0" u="none" strike="noStrike" baseline="0">
                  <a:solidFill>
                    <a:srgbClr val="000000"/>
                  </a:solidFill>
                  <a:latin typeface="Aptos Narrow"/>
                </a:rPr>
                <a:t>Przejdź do instrukcji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1513F-A211-43C8-858D-86930100BEF4}">
  <sheetPr codeName="Arkusz1"/>
  <dimension ref="A2:L15"/>
  <sheetViews>
    <sheetView zoomScale="85" zoomScaleNormal="140" workbookViewId="0">
      <selection activeCell="O4" sqref="O4"/>
    </sheetView>
  </sheetViews>
  <sheetFormatPr defaultColWidth="8.875" defaultRowHeight="13.9"/>
  <cols>
    <col min="1" max="16384" width="8.875" style="37"/>
  </cols>
  <sheetData>
    <row r="2" spans="1:12" ht="39.950000000000003" customHeight="1">
      <c r="B2" s="59" t="s">
        <v>0</v>
      </c>
      <c r="C2" s="59"/>
      <c r="D2" s="59"/>
      <c r="E2" s="59"/>
      <c r="F2" s="59"/>
      <c r="G2" s="59"/>
      <c r="H2" s="59"/>
      <c r="I2" s="59"/>
      <c r="J2" s="59"/>
      <c r="K2" s="59"/>
      <c r="L2" s="59"/>
    </row>
    <row r="3" spans="1:12" ht="77.099999999999994" customHeight="1">
      <c r="A3" s="39"/>
      <c r="B3" s="40" t="s">
        <v>1</v>
      </c>
      <c r="C3" s="62" t="s">
        <v>2</v>
      </c>
      <c r="D3" s="61"/>
      <c r="E3" s="61"/>
      <c r="F3" s="61"/>
      <c r="G3" s="61"/>
      <c r="H3" s="61"/>
      <c r="I3" s="61"/>
      <c r="J3" s="61"/>
      <c r="K3" s="61"/>
      <c r="L3" s="61"/>
    </row>
    <row r="4" spans="1:12" ht="77.099999999999994" customHeight="1">
      <c r="B4" s="40" t="s">
        <v>3</v>
      </c>
      <c r="C4" s="61" t="s">
        <v>4</v>
      </c>
      <c r="D4" s="61"/>
      <c r="E4" s="61"/>
      <c r="F4" s="61"/>
      <c r="G4" s="61"/>
      <c r="H4" s="61"/>
      <c r="I4" s="61"/>
      <c r="J4" s="61"/>
      <c r="K4" s="61"/>
      <c r="L4" s="61"/>
    </row>
    <row r="5" spans="1:12" ht="77.099999999999994" customHeight="1">
      <c r="B5" s="40" t="s">
        <v>5</v>
      </c>
      <c r="C5" s="61" t="s">
        <v>6</v>
      </c>
      <c r="D5" s="61"/>
      <c r="E5" s="61"/>
      <c r="F5" s="61"/>
      <c r="G5" s="61"/>
      <c r="H5" s="61"/>
      <c r="I5" s="61"/>
      <c r="J5" s="61"/>
      <c r="K5" s="61"/>
      <c r="L5" s="61"/>
    </row>
    <row r="6" spans="1:12" ht="77.099999999999994" customHeight="1">
      <c r="B6" s="40" t="s">
        <v>7</v>
      </c>
      <c r="C6" s="61" t="s">
        <v>8</v>
      </c>
      <c r="D6" s="61"/>
      <c r="E6" s="61"/>
      <c r="F6" s="61"/>
      <c r="G6" s="61"/>
      <c r="H6" s="61"/>
      <c r="I6" s="61"/>
      <c r="J6" s="61"/>
      <c r="K6" s="61"/>
      <c r="L6" s="61"/>
    </row>
    <row r="7" spans="1:12" ht="77.099999999999994" customHeight="1">
      <c r="B7" s="40" t="s">
        <v>9</v>
      </c>
      <c r="C7" s="61" t="s">
        <v>10</v>
      </c>
      <c r="D7" s="61"/>
      <c r="E7" s="61"/>
      <c r="F7" s="61"/>
      <c r="G7" s="61"/>
      <c r="H7" s="61"/>
      <c r="I7" s="61"/>
      <c r="J7" s="61"/>
      <c r="K7" s="61"/>
      <c r="L7" s="61"/>
    </row>
    <row r="8" spans="1:12" ht="77.099999999999994" customHeight="1">
      <c r="B8" s="40" t="s">
        <v>11</v>
      </c>
      <c r="C8" s="61" t="s">
        <v>12</v>
      </c>
      <c r="D8" s="61"/>
      <c r="E8" s="61"/>
      <c r="F8" s="61"/>
      <c r="G8" s="61"/>
      <c r="H8" s="61"/>
      <c r="I8" s="61"/>
      <c r="J8" s="61"/>
      <c r="K8" s="61"/>
      <c r="L8" s="61"/>
    </row>
    <row r="9" spans="1:12" ht="77.099999999999994" customHeight="1">
      <c r="B9" s="40" t="s">
        <v>13</v>
      </c>
      <c r="C9" s="61" t="s">
        <v>14</v>
      </c>
      <c r="D9" s="61"/>
      <c r="E9" s="61"/>
      <c r="F9" s="61"/>
      <c r="G9" s="61"/>
      <c r="H9" s="61"/>
      <c r="I9" s="61"/>
      <c r="J9" s="61"/>
      <c r="K9" s="61"/>
      <c r="L9" s="61"/>
    </row>
    <row r="12" spans="1:12" s="38" customFormat="1" ht="29.1" customHeight="1">
      <c r="B12" s="60" t="s">
        <v>15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</row>
    <row r="13" spans="1:12" s="38" customFormat="1" ht="29.1" customHeight="1">
      <c r="B13" s="41" t="s">
        <v>1</v>
      </c>
      <c r="C13" s="58" t="s">
        <v>16</v>
      </c>
      <c r="D13" s="58"/>
      <c r="E13" s="58"/>
      <c r="F13" s="58"/>
      <c r="G13" s="58"/>
      <c r="H13" s="58"/>
      <c r="I13" s="58"/>
      <c r="J13" s="58"/>
      <c r="K13" s="58"/>
      <c r="L13" s="58"/>
    </row>
    <row r="14" spans="1:12" s="38" customFormat="1" ht="29.1" customHeight="1">
      <c r="B14" s="41" t="s">
        <v>3</v>
      </c>
      <c r="C14" s="58" t="s">
        <v>17</v>
      </c>
      <c r="D14" s="58"/>
      <c r="E14" s="58"/>
      <c r="F14" s="58"/>
      <c r="G14" s="58"/>
      <c r="H14" s="58"/>
      <c r="I14" s="58"/>
      <c r="J14" s="58"/>
      <c r="K14" s="58"/>
      <c r="L14" s="58"/>
    </row>
    <row r="15" spans="1:12" s="38" customFormat="1" ht="29.1" customHeight="1">
      <c r="B15" s="41" t="s">
        <v>5</v>
      </c>
      <c r="C15" s="58" t="s">
        <v>18</v>
      </c>
      <c r="D15" s="58"/>
      <c r="E15" s="58"/>
      <c r="F15" s="58"/>
      <c r="G15" s="58"/>
      <c r="H15" s="58"/>
      <c r="I15" s="58"/>
      <c r="J15" s="58"/>
      <c r="K15" s="58"/>
      <c r="L15" s="58"/>
    </row>
  </sheetData>
  <mergeCells count="12">
    <mergeCell ref="C15:L15"/>
    <mergeCell ref="B2:L2"/>
    <mergeCell ref="B12:L12"/>
    <mergeCell ref="C7:L7"/>
    <mergeCell ref="C8:L8"/>
    <mergeCell ref="C9:L9"/>
    <mergeCell ref="C13:L13"/>
    <mergeCell ref="C14:L14"/>
    <mergeCell ref="C3:L3"/>
    <mergeCell ref="C4:L4"/>
    <mergeCell ref="C5:L5"/>
    <mergeCell ref="C6:L6"/>
  </mergeCells>
  <phoneticPr fontId="3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enuPrzejdz">
                <anchor moveWithCells="1" sizeWithCells="1">
                  <from>
                    <xdr:col>13</xdr:col>
                    <xdr:colOff>23813</xdr:colOff>
                    <xdr:row>1</xdr:row>
                    <xdr:rowOff>23813</xdr:rowOff>
                  </from>
                  <to>
                    <xdr:col>16</xdr:col>
                    <xdr:colOff>90488</xdr:colOff>
                    <xdr:row>2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00271-1528-45AF-9930-8421ED00D0E5}">
  <sheetPr codeName="Arkusz3"/>
  <dimension ref="A3:R112"/>
  <sheetViews>
    <sheetView tabSelected="1" zoomScale="78" zoomScaleNormal="78" workbookViewId="0">
      <selection activeCell="B110" sqref="B110"/>
    </sheetView>
  </sheetViews>
  <sheetFormatPr defaultColWidth="8.875" defaultRowHeight="13.5"/>
  <cols>
    <col min="1" max="1" width="9.875" customWidth="1"/>
    <col min="2" max="2" width="23.375" customWidth="1"/>
    <col min="3" max="3" width="44.5" customWidth="1"/>
    <col min="4" max="4" width="33.5" customWidth="1"/>
    <col min="5" max="5" width="32.5" customWidth="1"/>
    <col min="6" max="6" width="29.125" customWidth="1"/>
    <col min="7" max="7" width="29" bestFit="1" customWidth="1"/>
    <col min="8" max="8" width="18.875" bestFit="1" customWidth="1"/>
    <col min="9" max="9" width="11.375" bestFit="1" customWidth="1"/>
    <col min="10" max="10" width="11.5" bestFit="1" customWidth="1"/>
    <col min="11" max="11" width="13" bestFit="1" customWidth="1"/>
    <col min="12" max="12" width="6.125" bestFit="1" customWidth="1"/>
    <col min="13" max="13" width="16.875" bestFit="1" customWidth="1"/>
    <col min="14" max="14" width="39.875" customWidth="1"/>
    <col min="15" max="15" width="10.875" bestFit="1" customWidth="1"/>
    <col min="16" max="16" width="11" bestFit="1" customWidth="1"/>
    <col min="17" max="17" width="12.5" bestFit="1" customWidth="1"/>
    <col min="18" max="18" width="9.375" bestFit="1" customWidth="1"/>
    <col min="19" max="19" width="18.375" bestFit="1" customWidth="1"/>
    <col min="20" max="20" width="10.875" bestFit="1" customWidth="1"/>
    <col min="21" max="21" width="11" customWidth="1"/>
    <col min="22" max="22" width="12.5" bestFit="1" customWidth="1"/>
    <col min="23" max="23" width="11.625" customWidth="1"/>
    <col min="24" max="24" width="18.5" customWidth="1"/>
    <col min="25" max="25" width="11.625" customWidth="1"/>
  </cols>
  <sheetData>
    <row r="3" spans="1:10">
      <c r="B3" s="31" t="s">
        <v>19</v>
      </c>
      <c r="C3" s="31" t="s">
        <v>20</v>
      </c>
      <c r="D3" s="31" t="s">
        <v>21</v>
      </c>
      <c r="E3" s="31" t="s">
        <v>22</v>
      </c>
      <c r="F3" s="31" t="s">
        <v>23</v>
      </c>
      <c r="G3" s="31" t="s">
        <v>24</v>
      </c>
    </row>
    <row r="4" spans="1:10" ht="13.5" customHeight="1">
      <c r="B4" s="90" t="s">
        <v>25</v>
      </c>
      <c r="C4" s="8"/>
      <c r="D4" s="8" t="b">
        <v>1</v>
      </c>
      <c r="E4" s="9" t="s">
        <v>26</v>
      </c>
      <c r="F4" s="8" t="b">
        <v>1</v>
      </c>
      <c r="G4" s="8" t="s">
        <v>27</v>
      </c>
    </row>
    <row r="5" spans="1:10" ht="13.5" customHeight="1">
      <c r="B5" s="91"/>
      <c r="C5" s="8"/>
      <c r="D5" s="8" t="b">
        <v>1</v>
      </c>
      <c r="E5" s="9" t="s">
        <v>28</v>
      </c>
      <c r="F5" s="8" t="b">
        <v>1</v>
      </c>
      <c r="G5" s="8" t="s">
        <v>29</v>
      </c>
    </row>
    <row r="6" spans="1:10" ht="13.5" customHeight="1">
      <c r="B6" s="92"/>
      <c r="C6" s="8"/>
      <c r="D6" s="8" t="b">
        <v>1</v>
      </c>
      <c r="E6" s="9" t="s">
        <v>30</v>
      </c>
      <c r="F6" s="8" t="b">
        <v>1</v>
      </c>
      <c r="G6" s="8" t="s">
        <v>31</v>
      </c>
    </row>
    <row r="7" spans="1:10" ht="13.5" customHeight="1">
      <c r="A7" s="10"/>
      <c r="H7" s="11"/>
    </row>
    <row r="8" spans="1:10" ht="13.5" customHeight="1">
      <c r="A8" s="10"/>
    </row>
    <row r="9" spans="1:10" ht="13.5" customHeight="1">
      <c r="A9" s="10"/>
    </row>
    <row r="10" spans="1:10" ht="14.25" customHeight="1">
      <c r="A10" s="10"/>
      <c r="B10" s="31"/>
      <c r="C10" s="36" t="s">
        <v>32</v>
      </c>
      <c r="D10" s="28" t="s">
        <v>33</v>
      </c>
      <c r="E10" s="28" t="s">
        <v>34</v>
      </c>
      <c r="F10" s="28" t="s">
        <v>35</v>
      </c>
      <c r="G10" s="28" t="s">
        <v>36</v>
      </c>
      <c r="H10" s="28" t="s">
        <v>37</v>
      </c>
      <c r="I10" s="28" t="s">
        <v>38</v>
      </c>
      <c r="J10" s="28" t="s">
        <v>39</v>
      </c>
    </row>
    <row r="11" spans="1:10" ht="14.25" customHeight="1">
      <c r="B11" s="64" t="s">
        <v>40</v>
      </c>
      <c r="C11" s="30" t="s">
        <v>41</v>
      </c>
      <c r="D11" s="32" t="s">
        <v>42</v>
      </c>
      <c r="E11" s="33" t="s">
        <v>43</v>
      </c>
      <c r="F11" s="32" t="s">
        <v>44</v>
      </c>
      <c r="G11" s="33" t="s">
        <v>26</v>
      </c>
      <c r="H11" s="32" t="s">
        <v>45</v>
      </c>
      <c r="I11" s="34">
        <v>13.06</v>
      </c>
      <c r="J11" s="34" t="s">
        <v>46</v>
      </c>
    </row>
    <row r="12" spans="1:10" ht="14.25">
      <c r="B12" s="65"/>
      <c r="C12" s="30" t="s">
        <v>47</v>
      </c>
      <c r="D12" s="32">
        <v>365</v>
      </c>
      <c r="E12" s="33" t="s">
        <v>48</v>
      </c>
      <c r="F12" s="32" t="s">
        <v>49</v>
      </c>
      <c r="G12" s="33" t="s">
        <v>48</v>
      </c>
      <c r="H12" s="32" t="s">
        <v>50</v>
      </c>
      <c r="I12" s="35" t="s">
        <v>46</v>
      </c>
      <c r="J12" s="35">
        <v>558</v>
      </c>
    </row>
    <row r="13" spans="1:10" ht="15" customHeight="1">
      <c r="B13" s="66" t="s">
        <v>51</v>
      </c>
      <c r="C13" s="29" t="s">
        <v>52</v>
      </c>
      <c r="D13" s="32" t="s">
        <v>42</v>
      </c>
      <c r="E13" s="33" t="s">
        <v>43</v>
      </c>
      <c r="F13" s="32" t="s">
        <v>53</v>
      </c>
      <c r="G13" s="33" t="s">
        <v>26</v>
      </c>
      <c r="H13" s="32" t="s">
        <v>45</v>
      </c>
      <c r="I13" s="35">
        <v>4.13</v>
      </c>
      <c r="J13" s="35" t="s">
        <v>46</v>
      </c>
    </row>
    <row r="14" spans="1:10" ht="14.25">
      <c r="B14" s="65"/>
      <c r="C14" s="30" t="s">
        <v>54</v>
      </c>
      <c r="D14" s="32">
        <v>365</v>
      </c>
      <c r="E14" s="33" t="s">
        <v>48</v>
      </c>
      <c r="F14" s="32" t="s">
        <v>55</v>
      </c>
      <c r="G14" s="33" t="s">
        <v>48</v>
      </c>
      <c r="H14" s="32" t="s">
        <v>56</v>
      </c>
      <c r="I14" s="35">
        <v>180</v>
      </c>
      <c r="J14" s="35">
        <v>230</v>
      </c>
    </row>
    <row r="15" spans="1:10" ht="15" customHeight="1">
      <c r="B15" s="66" t="s">
        <v>57</v>
      </c>
      <c r="C15" s="30" t="s">
        <v>58</v>
      </c>
      <c r="D15" s="32" t="s">
        <v>42</v>
      </c>
      <c r="E15" s="33" t="s">
        <v>43</v>
      </c>
      <c r="F15" s="32" t="s">
        <v>59</v>
      </c>
      <c r="G15" s="33" t="s">
        <v>26</v>
      </c>
      <c r="H15" s="32" t="s">
        <v>45</v>
      </c>
      <c r="I15" s="35">
        <v>1.79</v>
      </c>
      <c r="J15" s="35" t="s">
        <v>46</v>
      </c>
    </row>
    <row r="16" spans="1:10" ht="14.25">
      <c r="B16" s="64"/>
      <c r="C16" s="30" t="s">
        <v>60</v>
      </c>
      <c r="D16" s="32">
        <v>365</v>
      </c>
      <c r="E16" s="33" t="s">
        <v>48</v>
      </c>
      <c r="F16" s="32" t="s">
        <v>61</v>
      </c>
      <c r="G16" s="33" t="s">
        <v>48</v>
      </c>
      <c r="H16" s="32" t="s">
        <v>56</v>
      </c>
      <c r="I16" s="35">
        <v>165</v>
      </c>
      <c r="J16" s="35">
        <v>190</v>
      </c>
    </row>
    <row r="17" spans="2:18" ht="14.25">
      <c r="B17" s="63" t="s">
        <v>62</v>
      </c>
      <c r="C17" s="42" t="s">
        <v>63</v>
      </c>
      <c r="D17" s="32" t="s">
        <v>64</v>
      </c>
      <c r="E17" s="33" t="s">
        <v>43</v>
      </c>
      <c r="F17" s="32" t="s">
        <v>42</v>
      </c>
      <c r="G17" s="33" t="s">
        <v>43</v>
      </c>
      <c r="H17" s="32" t="s">
        <v>45</v>
      </c>
      <c r="I17" s="34">
        <v>0</v>
      </c>
      <c r="J17" s="34" t="s">
        <v>46</v>
      </c>
    </row>
    <row r="18" spans="2:18" ht="14.25">
      <c r="B18" s="63"/>
      <c r="C18" s="43" t="s">
        <v>65</v>
      </c>
      <c r="D18" s="32" t="s">
        <v>64</v>
      </c>
      <c r="E18" s="33" t="s">
        <v>43</v>
      </c>
      <c r="F18" s="32" t="s">
        <v>66</v>
      </c>
      <c r="G18" s="33" t="s">
        <v>26</v>
      </c>
      <c r="H18" s="32" t="s">
        <v>45</v>
      </c>
      <c r="I18" s="34">
        <v>2.2999999999999998</v>
      </c>
      <c r="J18" s="34" t="s">
        <v>46</v>
      </c>
    </row>
    <row r="19" spans="2:18" ht="14.25">
      <c r="B19" s="63"/>
      <c r="C19" s="42" t="s">
        <v>67</v>
      </c>
      <c r="D19" s="32" t="s">
        <v>68</v>
      </c>
      <c r="E19" s="33" t="s">
        <v>43</v>
      </c>
      <c r="F19" s="32" t="s">
        <v>69</v>
      </c>
      <c r="G19" s="33" t="s">
        <v>43</v>
      </c>
      <c r="H19" s="32" t="s">
        <v>45</v>
      </c>
      <c r="I19" s="34">
        <v>0</v>
      </c>
      <c r="J19" s="34" t="s">
        <v>46</v>
      </c>
    </row>
    <row r="23" spans="2:18" ht="13.5" customHeight="1">
      <c r="B23" s="67" t="s">
        <v>70</v>
      </c>
      <c r="C23" s="67"/>
      <c r="D23" s="67"/>
      <c r="E23" s="67"/>
      <c r="F23" s="67"/>
    </row>
    <row r="24" spans="2:18" ht="13.5" customHeight="1">
      <c r="B24" s="67"/>
      <c r="C24" s="67"/>
      <c r="D24" s="67"/>
      <c r="E24" s="67"/>
      <c r="F24" s="67"/>
    </row>
    <row r="25" spans="2:18">
      <c r="B25" s="67"/>
      <c r="C25" s="67"/>
      <c r="D25" s="67"/>
      <c r="E25" s="67"/>
      <c r="F25" s="67"/>
    </row>
    <row r="26" spans="2:18" ht="15" customHeight="1">
      <c r="B26" s="18"/>
      <c r="C26" s="18"/>
      <c r="D26" s="18"/>
      <c r="E26" s="18"/>
      <c r="F26" s="18"/>
    </row>
    <row r="27" spans="2:18" ht="13.5" customHeight="1">
      <c r="B27" s="76" t="str">
        <f>IF(MENU!F5,"Cykl zapasów")</f>
        <v>Cykl zapasów</v>
      </c>
      <c r="C27" s="77"/>
      <c r="D27" s="77"/>
      <c r="E27" s="77"/>
      <c r="F27" s="78"/>
      <c r="R27" s="5"/>
    </row>
    <row r="28" spans="2:18" ht="13.9">
      <c r="B28" s="68"/>
      <c r="C28" s="69"/>
      <c r="D28" s="25">
        <f ca="1">IF(MENU!D4,INDIRECT(ADDRESS(6,2,1,TRUE,MENU!G4)),"")</f>
        <v>2024</v>
      </c>
      <c r="E28" s="25">
        <f ca="1">IF(MENU!D5,INDIRECT(ADDRESS(6,3,1,TRUE,MENU!G4)),"")</f>
        <v>2025</v>
      </c>
      <c r="F28" s="25">
        <f ca="1">IF(MENU!D5,INDIRECT(ADDRESS(6,4,1,TRUE,MENU!G4)),"")</f>
        <v>2026</v>
      </c>
      <c r="R28" s="3"/>
    </row>
    <row r="29" spans="2:18">
      <c r="B29" s="97" t="str">
        <f ca="1">IF(D4=TRUE,IF(MENU!F5,INDIRECT(ADDRESS(8,1,1,TRUE,MENU!G5)),""),"")</f>
        <v>A,     Przychody netto ze sprzedaży produktów, towarów i materiałów</v>
      </c>
      <c r="C29" s="98"/>
      <c r="D29" s="22">
        <f ca="1">IF(D4=TRUE,IF(MENU!F5,INDIRECT(ADDRESS(8,2,1,TRUE,MENU!G5))*1,""),"")</f>
        <v>64.739999999999995</v>
      </c>
      <c r="E29" s="22">
        <f ca="1">IF(D4=TRUE,IF(MENU!F5,INDIRECT(ADDRESS(8,3,1,TRUE,MENU!G5))*1,""),"")</f>
        <v>109.51</v>
      </c>
      <c r="F29" s="22">
        <f ca="1">IF(D4=TRUE,IF(MENU!F5,INDIRECT(ADDRESS(8,4,1,TRUE,MENU!G5))*1,""),"")</f>
        <v>308.62</v>
      </c>
      <c r="R29" s="7"/>
    </row>
    <row r="30" spans="2:18">
      <c r="B30" s="68" t="str">
        <f ca="1">IF(D4=TRUE,IF(MENU!F5,INDIRECT(ADDRESS(16,1,1,TRUE,MENU!G4)),""),"")</f>
        <v>B,I,Zapasy</v>
      </c>
      <c r="C30" s="69"/>
      <c r="D30" s="23">
        <f ca="1">IF(D4=TRUE,IF(MENU!F5,INDIRECT(ADDRESS(16,2,1,TRUE,MENU!G4))*1,""),"")</f>
        <v>41.74</v>
      </c>
      <c r="E30" s="23">
        <f ca="1">IF(D4=TRUE,IF(MENU!F5,INDIRECT(ADDRESS(16,3,1,TRUE,MENU!G4))*1,""),"")</f>
        <v>47.67</v>
      </c>
      <c r="F30" s="23">
        <f ca="1">IF(D4=TRUE,IF(MENU!F5,INDIRECT(ADDRESS(16,4,1,TRUE,MENU!G4))*1,""),"")</f>
        <v>32.79</v>
      </c>
      <c r="R30" s="1"/>
    </row>
    <row r="31" spans="2:18" ht="13.9">
      <c r="B31" s="79" t="str">
        <f>IF(MENU!F5,"Wskaźnik obrotowości zapasów")</f>
        <v>Wskaźnik obrotowości zapasów</v>
      </c>
      <c r="C31" s="80"/>
      <c r="D31" s="21">
        <f ca="1">IF(D4=TRUE,IF(MENU!$F$5,D$29/D$30),"")</f>
        <v>1.5510301868711067</v>
      </c>
      <c r="E31" s="21">
        <f ca="1">IF(D4=TRUE,IF(MENU!$F$5,E$29/E$30),"")</f>
        <v>2.2972519404237466</v>
      </c>
      <c r="F31" s="21">
        <f ca="1">IF(D4=TRUE,IF(MENU!$F$5,F$29/F$30),"")</f>
        <v>9.4120158584934437</v>
      </c>
      <c r="R31" s="6"/>
    </row>
    <row r="32" spans="2:18" ht="13.9">
      <c r="B32" s="79" t="str">
        <f>IF(MENU!F5,"Wskaźnik cyklu zapasów")</f>
        <v>Wskaźnik cyklu zapasów</v>
      </c>
      <c r="C32" s="80"/>
      <c r="D32" s="21">
        <f ca="1">IF(D4=TRUE,IF(MENU!$F$5,365/D$31),"")</f>
        <v>235.32746370095771</v>
      </c>
      <c r="E32" s="21">
        <f ca="1">IF(D4=TRUE,IF(MENU!$F$5,365/E$31),"")</f>
        <v>158.88548990959731</v>
      </c>
      <c r="F32" s="21">
        <f ca="1">IF(D4=TRUE,IF(MENU!$F$5,365/F$31),"")</f>
        <v>38.780215151318771</v>
      </c>
      <c r="R32" s="6"/>
    </row>
    <row r="33" spans="2:18" ht="13.9" thickBot="1"/>
    <row r="34" spans="2:18" ht="21" thickBot="1">
      <c r="B34" s="70" t="s">
        <v>71</v>
      </c>
      <c r="C34" s="71"/>
      <c r="D34" s="26" t="s">
        <v>72</v>
      </c>
      <c r="E34" s="27" t="s">
        <v>73</v>
      </c>
    </row>
    <row r="35" spans="2:18" ht="30.75" customHeight="1">
      <c r="B35" s="72" t="str">
        <f ca="1">IF(MENU!$D$5,CONCATENATE(B31," ",Słownik!$A$6," ",D$28," ",IF(D31&gt;0,Słownik!$A$7,Słownik!$A$8),"; ",IF(D31&gt;I11,Słownik!$A$9,IF(D31=I11,Słownik!$A$9,Słownik!$A$10)),""))</f>
        <v>Wskaźnik obrotowości zapasów w roku 2024 jest dodatni; nie ma wartości należącej do zalecanego zakresu - to źle</v>
      </c>
      <c r="C35" s="73"/>
      <c r="D35" s="81" t="str">
        <f ca="1">IF(MENU!$D$5,CONCATENATE(B31," ",Słownik!$A$6," ",E28," ",IF(E31&lt;D31,Słownik!$A$5,IF(E31=D31,Słownik!$A$4,Słownik!$A$3))," ",Słownik!$A$13," ", D28))</f>
        <v>Wskaźnik obrotowości zapasów w roku 2025 wzrósł względem 2024</v>
      </c>
      <c r="E35" s="83" t="str">
        <f ca="1">IF(MENU!$D$5,CONCATENATE(B31," ",Słownik!$A$6," ",F28," ",IF(F32&lt;E32,Słownik!$A$3,IF(F32=E32,Słownik!$A$4,Słownik!$A$5))," ",Słownik!$A$13," ", E28))</f>
        <v>Wskaźnik obrotowości zapasów w roku 2026 wzrósł względem 2025</v>
      </c>
    </row>
    <row r="36" spans="2:18" ht="33" customHeight="1">
      <c r="B36" s="86" t="str">
        <f ca="1">IF(MENU!$D$5,CONCATENATE(B31," ",Słownik!$A$6," ",E$28," ",IF(E31&gt;0,Słownik!$A$7,Słownik!$A$8),"; ",IF(E31&gt;$I$11,Słownik!$A$9,IF(E31=$I$11,Słownik!$A$9,Słownik!$A$10)),""))</f>
        <v>Wskaźnik obrotowości zapasów w roku 2025 jest dodatni; nie ma wartości należącej do zalecanego zakresu - to źle</v>
      </c>
      <c r="C36" s="87"/>
      <c r="D36" s="82"/>
      <c r="E36" s="84"/>
    </row>
    <row r="37" spans="2:18" ht="33.6" customHeight="1" thickBot="1">
      <c r="B37" s="88" t="str">
        <f ca="1">IF(MENU!$D$5,CONCATENATE(B31," ",Słownik!$A$6," ",F28," ",IF(F31&gt;0,Słownik!$A$7,Słownik!$A$8),"; ",IF(F31&gt;$I$11,Słownik!$A$9,IF(F31=$I$11,Słownik!$A$9,Słownik!$A$10)),""))</f>
        <v>Wskaźnik obrotowości zapasów w roku 2026 jest dodatni; nie ma wartości należącej do zalecanego zakresu - to źle</v>
      </c>
      <c r="C37" s="89"/>
      <c r="D37" s="75"/>
      <c r="E37" s="85"/>
      <c r="R37" s="4"/>
    </row>
    <row r="38" spans="2:18" ht="33.6" customHeight="1">
      <c r="B38" s="72" t="str">
        <f ca="1">IF(MENU!$D$5,CONCATENATE(B32," ",Słownik!$A$6," ",D28," ",IF(D31&gt;0,Słownik!$A$7,Słownik!$A$8),"; ",IF(D32&lt;J12,Słownik!$A$9,IF(D32=J12,Słownik!$A$9,Słownik!$A$10)),""))</f>
        <v>Wskaźnik cyklu zapasów w roku 2024 jest dodatni; ma wartość należącą do zalecanego zakresu - to dobrze</v>
      </c>
      <c r="C38" s="73"/>
      <c r="D38" s="81" t="str">
        <f ca="1">IF(MENU!$D$5,CONCATENATE(B32," ",Słownik!$A$6," ",E28," ",IF(E32&lt;D32,Słownik!$A$5,IF(E32=D32,Słownik!$A$4,Słownik!$A$3))," ",Słownik!$A$13," ", D28))</f>
        <v>Wskaźnik cyklu zapasów w roku 2025 zmalał względem 2024</v>
      </c>
      <c r="E38" s="83" t="str">
        <f ca="1">IF(MENU!$D$5,CONCATENATE(B32," ",Słownik!$A$6," ",F28," ",IF(F32&lt;E32,Słownik!$A$5,IF(F32=E32,Słownik!$A$4,Słownik!$A$3))," ",Słownik!$A$13," ", E28))</f>
        <v>Wskaźnik cyklu zapasów w roku 2026 zmalał względem 2025</v>
      </c>
      <c r="R38" s="4"/>
    </row>
    <row r="39" spans="2:18" ht="33.6" customHeight="1">
      <c r="B39" s="86" t="str">
        <f ca="1">IF(MENU!$D$5,CONCATENATE(B32," ",Słownik!$A$6," ",E28," ",IF(D31&gt;0,Słownik!$A$7,Słownik!$A$8),"; ",IF(E32&lt;J12,Słownik!$A$9,IF(E32=J12,Słownik!$A$9,Słownik!$A$10)),""))</f>
        <v>Wskaźnik cyklu zapasów w roku 2025 jest dodatni; ma wartość należącą do zalecanego zakresu - to dobrze</v>
      </c>
      <c r="C39" s="87"/>
      <c r="D39" s="82"/>
      <c r="E39" s="84"/>
    </row>
    <row r="40" spans="2:18" ht="37.35" customHeight="1" thickBot="1">
      <c r="B40" s="74" t="str">
        <f ca="1">IF(MENU!$D$5,CONCATENATE(B32," ",Słownik!$A$6," ",F28," ",IF(F32&gt;0,Słownik!$A$7,Słownik!$A$8),"; ",IF(F32&lt;J12,Słownik!$A$9,IF(F32=J12,Słownik!$A$9,Słownik!$A$10)),""))</f>
        <v>Wskaźnik cyklu zapasów w roku 2026 jest dodatni; ma wartość należącą do zalecanego zakresu - to dobrze</v>
      </c>
      <c r="C40" s="75"/>
      <c r="D40" s="75"/>
      <c r="E40" s="85"/>
    </row>
    <row r="41" spans="2:18" ht="13.9">
      <c r="B41" s="13"/>
      <c r="C41" s="13"/>
      <c r="D41" s="13"/>
      <c r="E41" s="13"/>
    </row>
    <row r="42" spans="2:18" ht="13.5" customHeight="1"/>
    <row r="43" spans="2:18" ht="13.5" customHeight="1">
      <c r="B43" s="76" t="str">
        <f>IF(MENU!F5,"Cykl należności")</f>
        <v>Cykl należności</v>
      </c>
      <c r="C43" s="77"/>
      <c r="D43" s="77"/>
      <c r="E43" s="77"/>
      <c r="F43" s="78"/>
    </row>
    <row r="44" spans="2:18" ht="13.5" customHeight="1">
      <c r="B44" s="68"/>
      <c r="C44" s="69"/>
      <c r="D44" s="25">
        <f ca="1">IF(MENU!D4,INDIRECT(ADDRESS(6,2,1,TRUE,MENU!G4)),"")</f>
        <v>2024</v>
      </c>
      <c r="E44" s="25">
        <f ca="1">IF(MENU!D5,INDIRECT(ADDRESS(6,3,1,TRUE,MENU!G4)),"")</f>
        <v>2025</v>
      </c>
      <c r="F44" s="25">
        <f ca="1">IF(MENU!D5,INDIRECT(ADDRESS(6,4,1,TRUE,MENU!G4)),"")</f>
        <v>2026</v>
      </c>
    </row>
    <row r="45" spans="2:18">
      <c r="B45" s="99" t="str">
        <f ca="1">IF(D4=TRUE,IF(MENU!F5,INDIRECT(ADDRESS(8,1,1,TRUE,MENU!G5)),""),"")</f>
        <v>A,     Przychody netto ze sprzedaży produktów, towarów i materiałów</v>
      </c>
      <c r="C45" s="99"/>
      <c r="D45" s="22">
        <f ca="1">IF(D4=TRUE,IF(MENU!F5,INDIRECT(ADDRESS(8,2,1,TRUE,MENU!G5))*1,""),"")</f>
        <v>64.739999999999995</v>
      </c>
      <c r="E45" s="22">
        <f ca="1">IF(D4=TRUE,IF(MENU!F5,INDIRECT(ADDRESS(8,3,1,TRUE,MENU!G5))*1,""),"")</f>
        <v>109.51</v>
      </c>
      <c r="F45" s="22">
        <f ca="1">IF(D4=TRUE,IF(MENU!F5,INDIRECT(ADDRESS(8,4,1,TRUE,MENU!G5))*1,""),"")</f>
        <v>308.62</v>
      </c>
    </row>
    <row r="46" spans="2:18">
      <c r="B46" s="94" t="str">
        <f ca="1">IF(D4=TRUE,IF(MENU!F5,INDIRECT(ADDRESS(20,1,1,TRUE,MENU!G4)),""),"")</f>
        <v>B,II,Należności krótkoterminowe</v>
      </c>
      <c r="C46" s="94"/>
      <c r="D46" s="23" t="str">
        <f ca="1">IF(D4=TRUE,IF(MENU!F5,INDIRECT(ADDRESS(20,2,1,TRUE,MENU!G4)),""),"")</f>
        <v>0,17</v>
      </c>
      <c r="E46" s="23" t="str">
        <f ca="1">IF(D4=TRUE,IF(MENU!F5,INDIRECT(ADDRESS(20,3,1,TRUE,MENU!G4)),""),"")</f>
        <v>-0,13</v>
      </c>
      <c r="F46" s="23" t="str">
        <f ca="1">IF(D4=TRUE,IF(MENU!F5,INDIRECT(ADDRESS(20,4,1,TRUE,MENU!G4)),""),"")</f>
        <v>35,35</v>
      </c>
    </row>
    <row r="47" spans="2:18" ht="13.9">
      <c r="B47" s="93" t="str">
        <f>IF(MENU!$F$4,"Wskaźnik obrotowości należności")</f>
        <v>Wskaźnik obrotowości należności</v>
      </c>
      <c r="C47" s="93"/>
      <c r="D47" s="21">
        <f ca="1">IF(D4=TRUE,IF(MENU!$F$4,D$45/D$46),"")</f>
        <v>380.82352941176464</v>
      </c>
      <c r="E47" s="21">
        <f ca="1">IF(D4=TRUE,IF(MENU!$F$4,E$45/E$46),"")</f>
        <v>-842.38461538461536</v>
      </c>
      <c r="F47" s="21">
        <f ca="1">IF(D4=TRUE,IF(MENU!$F$4,F$45/F$46),"")</f>
        <v>8.7304101838755308</v>
      </c>
    </row>
    <row r="48" spans="2:18" ht="13.9">
      <c r="B48" s="93" t="str">
        <f>IF(MENU!F5,"Wskaźnik cyklu należności")</f>
        <v>Wskaźnik cyklu należności</v>
      </c>
      <c r="C48" s="93"/>
      <c r="D48" s="21">
        <f ca="1">IF(D4=TRUE,IF(MENU!$F$5,365/D$47),"")</f>
        <v>0.95844918134074775</v>
      </c>
      <c r="E48" s="21">
        <f ca="1">IF(D4=TRUE,IF(MENU!$F$5,365/E$47),"")</f>
        <v>-0.43329376312665513</v>
      </c>
      <c r="F48" s="21">
        <f ca="1">IF(D4=TRUE,IF(MENU!$F$5,365/F$47),"")</f>
        <v>41.807886721534572</v>
      </c>
    </row>
    <row r="49" spans="2:18" ht="14.25" thickBot="1">
      <c r="B49" s="15"/>
      <c r="C49" s="16"/>
      <c r="D49" s="17"/>
      <c r="E49" s="17"/>
      <c r="F49" s="6"/>
    </row>
    <row r="50" spans="2:18" ht="21" thickBot="1">
      <c r="B50" s="70" t="s">
        <v>71</v>
      </c>
      <c r="C50" s="71"/>
      <c r="D50" s="26" t="s">
        <v>72</v>
      </c>
      <c r="E50" s="27" t="s">
        <v>73</v>
      </c>
    </row>
    <row r="51" spans="2:18" ht="32.1" customHeight="1">
      <c r="B51" s="72" t="str">
        <f ca="1">IF(MENU!$D$5,CONCATENATE(B47," ",Słownik!$A$6," ",$D28," ",IF(D47&gt;0,Słownik!$A$7,Słownik!$A$8),"; ",IF(D47&gt;I13,Słownik!$A$9,IF(D47=I27,Słownik!$A$9,Słownik!$A$10)),""))</f>
        <v>Wskaźnik obrotowości należności w roku 2024 jest dodatni; ma wartość należącą do zalecanego zakresu - to dobrze</v>
      </c>
      <c r="C51" s="73"/>
      <c r="D51" s="81" t="str">
        <f ca="1">IF(MENU!$D$5,CONCATENATE(B47," ",Słownik!$A$6," ",E44," ",IF(E47&lt;D47,Słownik!$A$5,IF(E47=D47,Słownik!$A$4,Słownik!$A$3))," ",Słownik!$A$13," ", D44))</f>
        <v>Wskaźnik obrotowości należności w roku 2025 zmalał względem 2024</v>
      </c>
      <c r="E51" s="83" t="str">
        <f ca="1">IF(MENU!$D$5,CONCATENATE(B47," ",Słownik!$A$6," ",F44," ",IF(F48&lt;E48,Słownik!$A$3,IF(F48=E48,Słownik!$A$4,Słownik!$A$5))," ",Słownik!$A$13," ", E44))</f>
        <v>Wskaźnik obrotowości należności w roku 2026 zmalał względem 2025</v>
      </c>
    </row>
    <row r="52" spans="2:18" ht="32.1" customHeight="1">
      <c r="B52" s="86" t="str">
        <f ca="1">IF(MENU!$D$5,CONCATENATE(B47," ",Słownik!$A$6," ",$E28," ",IF(E47&gt;0,Słownik!$A$7,Słownik!$A$8),"; ",IF(E47&gt;I13,Słownik!$A$9,IF(E47=$I$11,Słownik!$A$9,Słownik!$A$10)),""))</f>
        <v>Wskaźnik obrotowości należności w roku 2025 jest ujemny; nie ma wartości należącej do zalecanego zakresu - to źle</v>
      </c>
      <c r="C52" s="87"/>
      <c r="D52" s="82"/>
      <c r="E52" s="84"/>
    </row>
    <row r="53" spans="2:18" ht="32.1" customHeight="1" thickBot="1">
      <c r="B53" s="88" t="str">
        <f ca="1">IF(MENU!$D$5,CONCATENATE(B47," ",Słownik!$A$6," ",$F44," ",IF(F47&gt;0,Słownik!$A$7,Słownik!$A$8),"; ",IF(F47&gt;I13,Słownik!$A$9,IF(F47=$I$11,Słownik!$A$9,Słownik!$A$10)),""))</f>
        <v>Wskaźnik obrotowości należności w roku 2026 jest dodatni; ma wartość należącą do zalecanego zakresu - to dobrze</v>
      </c>
      <c r="C53" s="89"/>
      <c r="D53" s="75"/>
      <c r="E53" s="85"/>
    </row>
    <row r="54" spans="2:18" ht="32.1" customHeight="1">
      <c r="B54" s="72" t="str">
        <f ca="1">IF(MENU!$D$5,CONCATENATE(B48," ",Słownik!$A$6," ",$D44," ",IF(D48&gt;0,Słownik!$A$7,Słownik!$A$8),"; ",IF(AND(D48&gt;I14, F48&lt;J14),Słownik!$A$9,IF(D48=J28,Słownik!$A$9,Słownik!$A$10)),""))</f>
        <v>Wskaźnik cyklu należności w roku 2024 jest dodatni; nie ma wartości należącej do zalecanego zakresu - to źle</v>
      </c>
      <c r="C54" s="73"/>
      <c r="D54" s="81" t="str">
        <f ca="1">IF(MENU!$D$5,CONCATENATE(B48," ",Słownik!$A$6," ",E44," ",IF(E48&lt;D48,Słownik!$A$5,IF(E48=D48,Słownik!$A$4,Słownik!$A$3))," ",Słownik!$A$13," ", D44))</f>
        <v>Wskaźnik cyklu należności w roku 2025 zmalał względem 2024</v>
      </c>
      <c r="E54" s="83" t="str">
        <f ca="1">IF(MENU!$D$5,CONCATENATE(B48," ",Słownik!$A$6," ",F44," ",IF(F48&lt;E48,Słownik!$A$5,IF(F48=E48,Słownik!$A$4,Słownik!$A$3))," ",Słownik!$A$13," ", E44))</f>
        <v>Wskaźnik cyklu należności w roku 2026 wzrósł względem 2025</v>
      </c>
    </row>
    <row r="55" spans="2:18" ht="32.1" customHeight="1">
      <c r="B55" s="86" t="str">
        <f ca="1">IF(MENU!$D$5,CONCATENATE(B48," ",Słownik!$A$6," ",$E44," ",IF(E48&gt;0,Słownik!$A$7,Słownik!$A$8),"; ",IF(AND(E48&gt;I14, E48&lt;J14),Słownik!$A$9,IF(E48=J28,Słownik!$A$9,Słownik!$A$10)),""))</f>
        <v>Wskaźnik cyklu należności w roku 2025 jest ujemny; nie ma wartości należącej do zalecanego zakresu - to źle</v>
      </c>
      <c r="C55" s="87"/>
      <c r="D55" s="82"/>
      <c r="E55" s="84"/>
    </row>
    <row r="56" spans="2:18" ht="32.1" customHeight="1" thickBot="1">
      <c r="B56" s="74" t="str">
        <f ca="1">IF(MENU!$D$4,CONCATENATE(B48," ",Słownik!$A$6," ",$F44," ",IF(F48&gt;0,Słownik!$A$7,Słownik!$A$8),"; ",IF(AND(F48&gt;I14, F48&lt;J14),Słownik!$A$9,IF(F48=J28,Słownik!$A$9,Słownik!$A$10)),""))</f>
        <v>Wskaźnik cyklu należności w roku 2026 jest dodatni; nie ma wartości należącej do zalecanego zakresu - to źle</v>
      </c>
      <c r="C56" s="75"/>
      <c r="D56" s="75"/>
      <c r="E56" s="85"/>
    </row>
    <row r="59" spans="2:18" ht="13.9">
      <c r="B59" s="76" t="str">
        <f>IF(MENU!F5,"Cykl zobowiązań")</f>
        <v>Cykl zobowiązań</v>
      </c>
      <c r="C59" s="77"/>
      <c r="D59" s="77"/>
      <c r="E59" s="77"/>
      <c r="F59" s="78"/>
      <c r="R59" s="5"/>
    </row>
    <row r="60" spans="2:18" ht="13.9">
      <c r="B60" s="68"/>
      <c r="C60" s="69"/>
      <c r="D60" s="25">
        <f ca="1">IF(MENU!D4,INDIRECT(ADDRESS(6,2,1,TRUE,MENU!G4)),"")</f>
        <v>2024</v>
      </c>
      <c r="E60" s="25">
        <f ca="1">IF(MENU!D5,INDIRECT(ADDRESS(6,3,1,TRUE,MENU!G4)),"")</f>
        <v>2025</v>
      </c>
      <c r="F60" s="25">
        <f ca="1">IF(MENU!D5,INDIRECT(ADDRESS(6,4,1,TRUE,MENU!G4)),"")</f>
        <v>2026</v>
      </c>
      <c r="R60" s="3"/>
    </row>
    <row r="61" spans="2:18">
      <c r="B61" s="94" t="str">
        <f ca="1">IF(D4=TRUE,IF(MENU!F5,INDIRECT(ADDRESS(8,1,1,TRUE,MENU!G5)),""),"")</f>
        <v>A,     Przychody netto ze sprzedaży produktów, towarów i materiałów</v>
      </c>
      <c r="C61" s="94"/>
      <c r="D61" s="22">
        <f ca="1">IF(D4=TRUE,IF(MENU!F5,INDIRECT(ADDRESS(8,2,1,TRUE,MENU!G5))*1,""),"")</f>
        <v>64.739999999999995</v>
      </c>
      <c r="E61" s="22">
        <f ca="1">IF(D4=TRUE,IF(MENU!F5,INDIRECT(ADDRESS(8,3,1,TRUE,MENU!G5))*1,""),"")</f>
        <v>109.51</v>
      </c>
      <c r="F61" s="22">
        <f ca="1">IF(D4=TRUE,IF(MENU!F5,INDIRECT(ADDRESS(8,4,1,TRUE,MENU!G5))*1,""),"")</f>
        <v>308.62</v>
      </c>
      <c r="R61" s="7"/>
    </row>
    <row r="62" spans="2:18">
      <c r="B62" s="94" t="str">
        <f ca="1">IF(D4=TRUE,IF(MENU!F5,INDIRECT(ADDRESS(40,1,1,TRUE,MENU!G4)),""),"")</f>
        <v>B,III,Zobowiązania krótkoterminowe</v>
      </c>
      <c r="C62" s="94"/>
      <c r="D62" s="23" t="str">
        <f ca="1">IF(D4=TRUE,IF(MENU!F5,INDIRECT(ADDRESS(40,2,1,TRUE,MENU!G4)),""),"")</f>
        <v>176,10</v>
      </c>
      <c r="E62" s="23" t="str">
        <f ca="1">IF(D4=TRUE,IF(MENU!F5,INDIRECT(ADDRESS(40,3,1,TRUE,MENU!G4)),""),"")</f>
        <v>199,09</v>
      </c>
      <c r="F62" s="23" t="str">
        <f ca="1">IF(D4=TRUE,IF(MENU!F5,INDIRECT(ADDRESS(40,4,1,TRUE,MENU!G4)),""),"")</f>
        <v>224,60</v>
      </c>
      <c r="R62" s="1"/>
    </row>
    <row r="63" spans="2:18" ht="13.9">
      <c r="B63" s="93" t="str">
        <f>IF(MENU!F5,"Wskaźnik obrotowości zobowiązań")</f>
        <v>Wskaźnik obrotowości zobowiązań</v>
      </c>
      <c r="C63" s="93"/>
      <c r="D63" s="21">
        <f ca="1">IF(D4=TRUE,IF(MENU!$F$5,D$61/D$62),"")</f>
        <v>0.3676320272572402</v>
      </c>
      <c r="E63" s="21">
        <f ca="1">IF(D4=TRUE,IF(MENU!$F$5,E$61/E$62),"")</f>
        <v>0.55005273996684922</v>
      </c>
      <c r="F63" s="21">
        <f ca="1">IF(D4=TRUE,IF(MENU!$F$5,F$61/F$62),"")</f>
        <v>1.3740872662511132</v>
      </c>
      <c r="R63" s="6"/>
    </row>
    <row r="64" spans="2:18" ht="13.9">
      <c r="B64" s="93" t="str">
        <f>IF(MENU!F5,"Wskaźnik cyklu zobowiązań")</f>
        <v>Wskaźnik cyklu zobowiązań</v>
      </c>
      <c r="C64" s="93"/>
      <c r="D64" s="21">
        <f ca="1">IF(D4=TRUE,IF(MENU!$F$5,365/D$63),"")</f>
        <v>992.84059314179797</v>
      </c>
      <c r="E64" s="21">
        <f ca="1">IF(D4=TRUE,IF(MENU!$F$5,365/E$63),"")</f>
        <v>663.57273308373658</v>
      </c>
      <c r="F64" s="21">
        <f ca="1">IF(D4=TRUE,IF(MENU!$F$5,365/F$63),"")</f>
        <v>265.63087291815174</v>
      </c>
      <c r="R64" s="6"/>
    </row>
    <row r="65" spans="2:18" ht="13.9" thickBot="1"/>
    <row r="66" spans="2:18" ht="21" thickBot="1">
      <c r="B66" s="70" t="s">
        <v>71</v>
      </c>
      <c r="C66" s="71"/>
      <c r="D66" s="26" t="s">
        <v>72</v>
      </c>
      <c r="E66" s="27" t="s">
        <v>73</v>
      </c>
      <c r="F66" s="12"/>
    </row>
    <row r="67" spans="2:18" ht="32.1" customHeight="1">
      <c r="B67" s="72" t="str">
        <f ca="1">IF(MENU!$D$5,CONCATENATE(B63," ",Słownik!$A$6," ",D60," ",IF(D63&gt;0,Słownik!$A$7,Słownik!$A$8),"; ",IF(D63&gt;I15,Słownik!$A$9,IF(D63=I15,Słownik!$A$9,Słownik!$A$10)),""))</f>
        <v>Wskaźnik obrotowości zobowiązań w roku 2024 jest dodatni; nie ma wartości należącej do zalecanego zakresu - to źle</v>
      </c>
      <c r="C67" s="73"/>
      <c r="D67" s="81" t="str">
        <f ca="1">IF(MENU!$D$5,CONCATENATE(B63," ",Słownik!$A$6," ",E60," ",IF(E63&lt;D63,Słownik!$A$5,IF(E63=D63,Słownik!$A$4,Słownik!$A$3))," ",Słownik!$A$13," ", D60))</f>
        <v>Wskaźnik obrotowości zobowiązań w roku 2025 wzrósł względem 2024</v>
      </c>
      <c r="E67" s="83" t="str">
        <f ca="1">IF(MENU!$D$5,CONCATENATE(B63," ",Słownik!$A$6," ",F60," ",IF(F63&lt;E63,Słownik!$A$5,IF(F63=E63,Słownik!$A$4,Słownik!$A$3))," ",Słownik!$A$13," ", E60))</f>
        <v>Wskaźnik obrotowości zobowiązań w roku 2026 wzrósł względem 2025</v>
      </c>
      <c r="F67" s="12"/>
    </row>
    <row r="68" spans="2:18" ht="32.1" customHeight="1">
      <c r="B68" s="86" t="str">
        <f ca="1">IF(MENU!$D$4,CONCATENATE(B63," ",Słownik!$A$6," ",E60," ",IF(E63&gt;0,Słownik!$A$7,Słownik!$A$8),"; ",IF(E63&gt;I15,Słownik!$A$9,IF(E60=I15,Słownik!$A$9,Słownik!$A$10)),""))</f>
        <v>Wskaźnik obrotowości zobowiązań w roku 2025 jest dodatni; nie ma wartości należącej do zalecanego zakresu - to źle</v>
      </c>
      <c r="C68" s="87"/>
      <c r="D68" s="82"/>
      <c r="E68" s="84"/>
      <c r="F68" s="12"/>
    </row>
    <row r="69" spans="2:18" ht="32.1" customHeight="1" thickBot="1">
      <c r="B69" s="88" t="str">
        <f ca="1">IF(MENU!$D$4,CONCATENATE(B64," ",Słownik!$A$6," ",F60," ",IF(F64&gt;0,Słownik!$A$7,Słownik!$A$8),"; ",IF(F64&gt;I31,Słownik!$A$9,IF(F64=$I$11,Słownik!$A$9,Słownik!$A$10)),""))</f>
        <v>Wskaźnik cyklu zobowiązań w roku 2026 jest dodatni; ma wartość należącą do zalecanego zakresu - to dobrze</v>
      </c>
      <c r="C69" s="89"/>
      <c r="D69" s="75"/>
      <c r="E69" s="85"/>
      <c r="F69" s="12"/>
    </row>
    <row r="70" spans="2:18" ht="32.1" customHeight="1">
      <c r="B70" s="72" t="str">
        <f ca="1">IF(MENU!$D$5,CONCATENATE(B64," ",Słownik!$A$6," ",D60," ",IF(D64&gt;0,Słownik!$A$7,Słownik!$A$8),"; ",IF(AND(D64&gt;I16, D64&lt;J16),Słownik!$A$9,IF(D64=J16,Słownik!$A$9,Słownik!$A$10)),""))</f>
        <v>Wskaźnik cyklu zobowiązań w roku 2024 jest dodatni; nie ma wartości należącej do zalecanego zakresu - to źle</v>
      </c>
      <c r="C70" s="73"/>
      <c r="D70" s="81" t="str">
        <f ca="1">IF(MENU!$D$5,CONCATENATE(B64," ",Słownik!$A$6," ",E60," ",IF(E64&lt;D64,Słownik!$A$5,IF(E64=D64,Słownik!$A$4,Słownik!$A$3))," ",Słownik!$A$13," ", D60))</f>
        <v>Wskaźnik cyklu zobowiązań w roku 2025 zmalał względem 2024</v>
      </c>
      <c r="E70" s="83" t="str">
        <f ca="1">IF(MENU!$D$5,CONCATENATE(B64," ",Słownik!$A$6," ",F60," ",IF(F64&lt;E64,Słownik!$A$5,IF(F64=E64,Słownik!$A$4,Słownik!$A$3))," ",Słownik!$A$13," ", E60))</f>
        <v>Wskaźnik cyklu zobowiązań w roku 2026 zmalał względem 2025</v>
      </c>
      <c r="F70" s="12"/>
    </row>
    <row r="71" spans="2:18" ht="32.1" customHeight="1">
      <c r="B71" s="86" t="str">
        <f ca="1">IF(MENU!$D$4,CONCATENATE(B64," ",Słownik!$A$6," ",E60," ",IF(E64&gt;0,Słownik!$A$7,Słownik!$A$8),"; ",IF(AND(E64&gt;I32, E64&lt;J32),Słownik!$A$9,IF(E64=J46,Słownik!$A$9,Słownik!$A$10)),""))</f>
        <v>Wskaźnik cyklu zobowiązań w roku 2025 jest dodatni; nie ma wartości należącej do zalecanego zakresu - to źle</v>
      </c>
      <c r="C71" s="87"/>
      <c r="D71" s="82"/>
      <c r="E71" s="84"/>
      <c r="F71" s="12"/>
    </row>
    <row r="72" spans="2:18" ht="32.1" customHeight="1" thickBot="1">
      <c r="B72" s="74" t="str">
        <f ca="1">IF(MENU!$D$4,CONCATENATE(B64," ",Słownik!$A$6," ",F60," ",IF(F64&gt;0,Słownik!$A$7,Słownik!$A$8),"; ",IF(AND(F64&gt;I32, F64&lt;J32),Słownik!$A$9,IF(F64=J46,Słownik!$A$9,Słownik!$A$10)),""))</f>
        <v>Wskaźnik cyklu zobowiązań w roku 2026 jest dodatni; nie ma wartości należącej do zalecanego zakresu - to źle</v>
      </c>
      <c r="C72" s="75"/>
      <c r="D72" s="75"/>
      <c r="E72" s="85"/>
      <c r="F72" s="12"/>
    </row>
    <row r="73" spans="2:18" ht="13.9">
      <c r="B73" s="13"/>
      <c r="C73" s="13"/>
      <c r="D73" s="13"/>
      <c r="E73" s="13"/>
      <c r="F73" s="12"/>
    </row>
    <row r="75" spans="2:18" ht="13.9">
      <c r="B75" s="76" t="str">
        <f>IF(MENU!F5,"Wskaźnik wydajności gotówkowej sprzedaży")</f>
        <v>Wskaźnik wydajności gotówkowej sprzedaży</v>
      </c>
      <c r="C75" s="77"/>
      <c r="D75" s="77"/>
      <c r="E75" s="77"/>
      <c r="F75" s="78"/>
      <c r="R75" s="5"/>
    </row>
    <row r="76" spans="2:18" ht="13.9">
      <c r="B76" s="68"/>
      <c r="C76" s="69"/>
      <c r="D76" s="25">
        <f ca="1">IF(MENU!D4,INDIRECT(ADDRESS(6,2,1,TRUE,MENU!G4)),"")</f>
        <v>2024</v>
      </c>
      <c r="E76" s="25">
        <f ca="1">IF(MENU!D5,INDIRECT(ADDRESS(6,3,1,TRUE,MENU!G4)),"")</f>
        <v>2025</v>
      </c>
      <c r="F76" s="25">
        <f ca="1">IF(MENU!D5,INDIRECT(ADDRESS(6,4,1,TRUE,MENU!G4)),"")</f>
        <v>2026</v>
      </c>
    </row>
    <row r="77" spans="2:18">
      <c r="B77" s="68" t="str">
        <f ca="1">IF(D4=TRUE,IF(MENU!F5,INDIRECT(ADDRESS(19,1,1,TRUE,MENU!$G$5)),""),"")</f>
        <v>I,      Zysk (strata) z działalności operacyjnej</v>
      </c>
      <c r="C77" s="69"/>
      <c r="D77" s="19" t="str">
        <f ca="1">IF(D4=TRUE,IF(MENU!F5,INDIRECT(ADDRESS(19,2,1,TRUE,MENU!$G$5)),""),"")</f>
        <v>-16,40</v>
      </c>
      <c r="E77" s="19" t="str">
        <f ca="1">IF(D4=TRUE,IF(MENU!F5,INDIRECT(ADDRESS(19,3,1,TRUE,MENU!$G$5)),""),"")</f>
        <v>-9,71</v>
      </c>
      <c r="F77" s="19" t="str">
        <f ca="1">IF(D4=TRUE,IF(MENU!F5,INDIRECT(ADDRESS(19,4,1,TRUE,MENU!$G$5)),""),"")</f>
        <v>46,43</v>
      </c>
    </row>
    <row r="78" spans="2:18">
      <c r="B78" s="68" t="str">
        <f ca="1">IF(D4=TRUE,IF(MENU!F5,INDIRECT(ADDRESS(8,1,1,TRUE,MENU!G5)),""),"")</f>
        <v>A,     Przychody netto ze sprzedaży produktów, towarów i materiałów</v>
      </c>
      <c r="C78" s="69"/>
      <c r="D78" s="23">
        <f ca="1">IF(D4=TRUE,IF(MENU!$F$5,INDIRECT(ADDRESS(8,2,1,TRUE,MENU!G5))*1,""),"")</f>
        <v>64.739999999999995</v>
      </c>
      <c r="E78" s="23">
        <f ca="1">IF(D4=TRUE,IF(MENU!F5,INDIRECT(ADDRESS(8,3,1,TRUE,MENU!G5))*1,""),"")</f>
        <v>109.51</v>
      </c>
      <c r="F78" s="23">
        <f ca="1">IF(D4=TRUE,IF(MENU!F5,INDIRECT(ADDRESS(8,4,1,TRUE,MENU!G5))*1,""),"")</f>
        <v>308.62</v>
      </c>
    </row>
    <row r="79" spans="2:18" ht="13.9">
      <c r="B79" s="79" t="str">
        <f>IF(MENU!F5,"WWGS")</f>
        <v>WWGS</v>
      </c>
      <c r="C79" s="80"/>
      <c r="D79" s="21">
        <f ca="1">IF(D4=TRUE,IF(MENU!$F$5,D$77/D$78),"")</f>
        <v>-0.25332097621254246</v>
      </c>
      <c r="E79" s="21">
        <f ca="1">IF(D4=TRUE,IF(MENU!$F$5,E$77/E$78),"")</f>
        <v>-8.8667701579764405E-2</v>
      </c>
      <c r="F79" s="21">
        <f ca="1">IF(D4=TRUE,IF(MENU!$F$5,F$77/F$78),"")</f>
        <v>0.15044391160650639</v>
      </c>
    </row>
    <row r="80" spans="2:18" ht="14.25" thickBot="1">
      <c r="B80" s="5"/>
      <c r="C80" s="5"/>
      <c r="D80" s="6"/>
      <c r="E80" s="6"/>
      <c r="F80" s="6"/>
    </row>
    <row r="81" spans="2:6" ht="21" thickBot="1">
      <c r="B81" s="70" t="s">
        <v>71</v>
      </c>
      <c r="C81" s="71"/>
      <c r="D81" s="26" t="s">
        <v>72</v>
      </c>
      <c r="E81" s="27" t="s">
        <v>73</v>
      </c>
      <c r="F81" s="6"/>
    </row>
    <row r="82" spans="2:6" ht="32.85" customHeight="1">
      <c r="B82" s="72" t="str">
        <f ca="1">IF(MENU!$D$5,CONCATENATE(B79," ",Słownik!$A$6," ",D76," ",IF(D79&gt;0,Słownik!$A$7,Słownik!$A$8),"; ",IF(D79&gt;I17,Słownik!$A$9,IF(D79=I17,Słownik!$A$9,Słownik!$A$10)),""))</f>
        <v>WWGS w roku 2024 jest ujemny; nie ma wartości należącej do zalecanego zakresu - to źle</v>
      </c>
      <c r="C82" s="73"/>
      <c r="D82" s="81" t="str">
        <f ca="1">IF(MENU!$D$5,CONCATENATE(B79," ",Słownik!$A$6," ",E76," ",IF(E79&lt;D79,Słownik!$A$5,IF(E79=D79,Słownik!$A$4,Słownik!$A$3))," ",Słownik!$A$13," ", D76))</f>
        <v>WWGS w roku 2025 wzrósł względem 2024</v>
      </c>
      <c r="E82" s="83" t="str">
        <f ca="1">IF(MENU!$D$5,CONCATENATE(B79," ",Słownik!$A$6," ",F76," ",IF(F79&lt;E79,Słownik!$A$5,IF(F79=E79,Słownik!$A$4,Słownik!$A$3))," ",Słownik!$A$13," ", E76))</f>
        <v>WWGS w roku 2026 wzrósł względem 2025</v>
      </c>
      <c r="F82" s="6"/>
    </row>
    <row r="83" spans="2:6" ht="32.85" customHeight="1">
      <c r="B83" s="86" t="str">
        <f ca="1">IF(MENU!$D$5,CONCATENATE(B79," ",Słownik!$A$6," ",E76," ",IF(E79&gt;0,Słownik!$A$7,Słownik!$A$8),"; ",IF(E79&gt;I17,Słownik!$A$9,IF(E79=I17,Słownik!$A$9,Słownik!$A$10)),""))</f>
        <v>WWGS w roku 2025 jest ujemny; nie ma wartości należącej do zalecanego zakresu - to źle</v>
      </c>
      <c r="C83" s="87"/>
      <c r="D83" s="82"/>
      <c r="E83" s="84"/>
    </row>
    <row r="84" spans="2:6" ht="32.85" customHeight="1" thickBot="1">
      <c r="B84" s="88" t="str">
        <f ca="1">IF(MENU!$D$5,CONCATENATE(B79," ",Słownik!$A$6," ",F76," ",IF(F79&gt;0,Słownik!$A$7,Słownik!$A$8),"; ",IF(F79&gt;I17,Słownik!$A$9,IF(F79=I17,Słownik!$A$9,Słownik!$A$10)),""))</f>
        <v>WWGS w roku 2026 jest dodatni; ma wartość należącą do zalecanego zakresu - to dobrze</v>
      </c>
      <c r="C84" s="89"/>
      <c r="D84" s="75"/>
      <c r="E84" s="85"/>
    </row>
    <row r="85" spans="2:6" ht="13.9">
      <c r="B85" s="13"/>
      <c r="C85" s="13"/>
      <c r="D85" s="13"/>
      <c r="E85" s="13"/>
    </row>
    <row r="86" spans="2:6" ht="13.9">
      <c r="B86" s="14"/>
      <c r="C86" s="14"/>
      <c r="D86" s="13"/>
      <c r="E86" s="13"/>
    </row>
    <row r="87" spans="2:6" ht="13.9">
      <c r="B87" s="95" t="str">
        <f>IF(MENU!F5,"Wskaźnik wydajności gotówkowej aktywów")</f>
        <v>Wskaźnik wydajności gotówkowej aktywów</v>
      </c>
      <c r="C87" s="96"/>
      <c r="D87" s="77"/>
      <c r="E87" s="77"/>
      <c r="F87" s="78"/>
    </row>
    <row r="88" spans="2:6" ht="13.9">
      <c r="B88" s="68"/>
      <c r="C88" s="69"/>
      <c r="D88" s="25">
        <f ca="1">IF(MENU!D4,INDIRECT(ADDRESS(6,2,1,TRUE,MENU!G4)),"")</f>
        <v>2024</v>
      </c>
      <c r="E88" s="25">
        <f ca="1">IF(MENU!D5,INDIRECT(ADDRESS(6,3,1,TRUE,MENU!G4)),"")</f>
        <v>2025</v>
      </c>
      <c r="F88" s="25">
        <f ca="1">IF(MENU!D5,INDIRECT(ADDRESS(6,4,1,TRUE,MENU!G4)),"")</f>
        <v>2026</v>
      </c>
    </row>
    <row r="89" spans="2:6">
      <c r="B89" s="68" t="str">
        <f ca="1">IF(D4=TRUE,IF(MENU!F5,INDIRECT(ADDRESS(19,1,1,TRUE,MENU!$G$5)),""),"")</f>
        <v>I,      Zysk (strata) z działalności operacyjnej</v>
      </c>
      <c r="C89" s="69"/>
      <c r="D89" s="19" t="str">
        <f ca="1">IF(D4=TRUE,IF(MENU!F5,INDIRECT(ADDRESS(19,2,1,TRUE,MENU!$G$5)),""),"")</f>
        <v>-16,40</v>
      </c>
      <c r="E89" s="19" t="str">
        <f ca="1">IF(D4=TRUE,IF(MENU!F5,INDIRECT(ADDRESS(19,3,1,TRUE,MENU!$G$5)),""),"")</f>
        <v>-9,71</v>
      </c>
      <c r="F89" s="19" t="str">
        <f ca="1">IF(D4=TRUE,IF(MENU!F5,INDIRECT(ADDRESS(19,4,1,TRUE,MENU!$G$5)),""),"")</f>
        <v>46,43</v>
      </c>
    </row>
    <row r="90" spans="2:6">
      <c r="B90" s="68" t="str">
        <f ca="1">IF(D4=TRUE,IF(MENU!F5,INDIRECT(ADDRESS(26,1,1,TRUE,MENU!G4)),""),"")</f>
        <v>AKTYWA RAZEM</v>
      </c>
      <c r="C90" s="69"/>
      <c r="D90" s="20" t="str">
        <f ca="1">IF(D4=TRUE,IF(MENU!F5,INDIRECT(ADDRESS(26,2,1,TRUE,MENU!G4)),""),"")</f>
        <v>159,06</v>
      </c>
      <c r="E90" s="20" t="str">
        <f ca="1">IF(D4=TRUE,IF(MENU!F5,INDIRECT(ADDRESS(26,3,1,TRUE,MENU!G4)),""),"")</f>
        <v>181,61</v>
      </c>
      <c r="F90" s="20" t="str">
        <f ca="1">IF(D4=TRUE,IF(MENU!F5,INDIRECT(ADDRESS(26,4,1,TRUE,MENU!G4)),""),"")</f>
        <v>214,22</v>
      </c>
    </row>
    <row r="91" spans="2:6" ht="13.9">
      <c r="B91" s="79" t="str">
        <f>IF(MENU!F5,"WWGA")</f>
        <v>WWGA</v>
      </c>
      <c r="C91" s="80"/>
      <c r="D91" s="21">
        <f ca="1">IF(D4=TRUE,IF(MENU!$F$5,D$89/D$90),"")</f>
        <v>-0.10310574625927323</v>
      </c>
      <c r="E91" s="21">
        <f ca="1">IF(D4=TRUE,IF(MENU!$F$5,E$89/E$90),"")</f>
        <v>-5.3466218820549527E-2</v>
      </c>
      <c r="F91" s="21">
        <f ca="1">IF(D4=TRUE,IF(MENU!$F$5,F$89/F$90),"")</f>
        <v>0.21673980020539632</v>
      </c>
    </row>
    <row r="92" spans="2:6" ht="14.25" thickBot="1">
      <c r="B92" s="15"/>
      <c r="C92" s="16"/>
      <c r="D92" s="17"/>
      <c r="E92" s="17"/>
      <c r="F92" s="6"/>
    </row>
    <row r="93" spans="2:6" ht="21" thickBot="1">
      <c r="B93" s="70" t="s">
        <v>71</v>
      </c>
      <c r="C93" s="71"/>
      <c r="D93" s="26" t="s">
        <v>72</v>
      </c>
      <c r="E93" s="27" t="s">
        <v>73</v>
      </c>
      <c r="F93" s="6"/>
    </row>
    <row r="94" spans="2:6" ht="31.5" customHeight="1">
      <c r="B94" s="72" t="str">
        <f ca="1">IF(MENU!$D$5,CONCATENATE(B91," ",Słownik!$A$6," ",D$28," ",IF(D91&gt;0,Słownik!$A$7,Słownik!$A$8),"; ",IF(D91&gt;I18,Słownik!$A$9,IF(D91=I18,Słownik!$A$9,Słownik!$A$10)),""))</f>
        <v>WWGA w roku 2024 jest ujemny; nie ma wartości należącej do zalecanego zakresu - to źle</v>
      </c>
      <c r="C94" s="73"/>
      <c r="D94" s="81" t="str">
        <f ca="1">IF(MENU!$D$5,CONCATENATE(B91," ",Słownik!$A$6," ",E88," ",IF(E91&lt;D91,Słownik!$A$5,IF(E91=D91,Słownik!$A$4,Słownik!$A$3))," ",Słownik!$A$13," ", D88))</f>
        <v>WWGA w roku 2025 wzrósł względem 2024</v>
      </c>
      <c r="E94" s="83" t="str">
        <f ca="1">IF(MENU!$D$5,CONCATENATE(B91," ",Słownik!$A$6," ",F88," ",IF(F91&lt;E91,Słownik!$A$5,IF(F91=E91,Słownik!$A$4,Słownik!$A$3))," ",Słownik!$A$13," ", E88))</f>
        <v>WWGA w roku 2026 wzrósł względem 2025</v>
      </c>
    </row>
    <row r="95" spans="2:6" ht="31.5" customHeight="1">
      <c r="B95" s="86" t="str">
        <f ca="1">IF(MENU!$D$4,CONCATENATE(B91," ",Słownik!$A$6," ",E$28," ",IF(E91&gt;0,Słownik!$A$7,Słownik!$A$8),"; ",IF(E91&gt;I18,Słownik!$A$9,IF(E91=I18,Słownik!$A$9,Słownik!$A$10)),""))</f>
        <v>WWGA w roku 2025 jest ujemny; nie ma wartości należącej do zalecanego zakresu - to źle</v>
      </c>
      <c r="C95" s="87"/>
      <c r="D95" s="82"/>
      <c r="E95" s="84"/>
    </row>
    <row r="96" spans="2:6" ht="31.5" customHeight="1" thickBot="1">
      <c r="B96" s="88" t="str">
        <f ca="1">IF(MENU!$D$4,CONCATENATE(B91," ",Słownik!$A$6," ",F88," ",IF(F91&gt;0,Słownik!$A$7,Słownik!$A$8),"; ",IF(F91&gt;I18,Słownik!$A$9,IF(F91=I18,Słownik!$A$9,Słownik!$A$10)),""))</f>
        <v>WWGA w roku 2026 jest dodatni; nie ma wartości należącej do zalecanego zakresu - to źle</v>
      </c>
      <c r="C96" s="89"/>
      <c r="D96" s="75"/>
      <c r="E96" s="85"/>
    </row>
    <row r="97" spans="2:6" ht="13.9">
      <c r="B97" s="13"/>
      <c r="C97" s="13"/>
      <c r="D97" s="13"/>
      <c r="E97" s="13"/>
    </row>
    <row r="98" spans="2:6" ht="13.9">
      <c r="B98" s="14"/>
      <c r="C98" s="14"/>
      <c r="D98" s="14"/>
      <c r="E98" s="14"/>
    </row>
    <row r="99" spans="2:6" ht="13.9">
      <c r="B99" s="95" t="str">
        <f>IF(MENU!F5,"Wskaźnik wydajności gotówkowej zysku")</f>
        <v>Wskaźnik wydajności gotówkowej zysku</v>
      </c>
      <c r="C99" s="77"/>
      <c r="D99" s="77"/>
      <c r="E99" s="77"/>
      <c r="F99" s="78"/>
    </row>
    <row r="100" spans="2:6" ht="13.9">
      <c r="B100" s="68"/>
      <c r="C100" s="69"/>
      <c r="D100" s="24">
        <f ca="1">IF(MENU!D5,INDIRECT(ADDRESS(6,2,1,TRUE,MENU!G4)),"")</f>
        <v>2024</v>
      </c>
      <c r="E100" s="24">
        <f ca="1">IF(MENU!D5,INDIRECT(ADDRESS(6,3,1,TRUE,MENU!G4)),"")</f>
        <v>2025</v>
      </c>
      <c r="F100" s="24">
        <f ca="1">IF(MENU!D5,INDIRECT(ADDRESS(6,4,1,TRUE,MENU!G4)),"")</f>
        <v>2026</v>
      </c>
    </row>
    <row r="101" spans="2:6">
      <c r="B101" s="68" t="str">
        <f ca="1">IF(D4=TRUE,IF(MENU!F5,INDIRECT(ADDRESS(13,1,1,TRUE,MENU!G5)),""),"")</f>
        <v>C,      Zysk (strata) brutto ze sprzedaży (A - B)</v>
      </c>
      <c r="C101" s="69"/>
      <c r="D101" s="22" t="str">
        <f ca="1">IF(D4=TRUE,IF(MENU!F5,INDIRECT(ADDRESS(13,2,1,TRUE,MENU!G5)),""),"")</f>
        <v>11,38</v>
      </c>
      <c r="E101" s="22" t="str">
        <f ca="1">IF(D4=TRUE,IF(MENU!F5,INDIRECT(ADDRESS(13,3,1,TRUE,MENU!G5)),""),"")</f>
        <v>33,54</v>
      </c>
      <c r="F101" s="22" t="str">
        <f ca="1">IF(D4=TRUE,IF(MENU!F5,INDIRECT(ADDRESS(13,4,1,TRUE,MENU!G5)),""),"")</f>
        <v>123,74</v>
      </c>
    </row>
    <row r="102" spans="2:6">
      <c r="B102" s="68" t="str">
        <f ca="1">IF(D4=TRUE,IF(MENU!F5,INDIRECT(ADDRESS(22,1,1,TRUE,MENU!G5)),""),"")</f>
        <v>K,I,  Odsetki</v>
      </c>
      <c r="C102" s="69"/>
      <c r="D102" s="22" t="str">
        <f ca="1">IF(D4=TRUE,IF(MENU!F5,INDIRECT(ADDRESS(22,2,1,TRUE,MENU!G5)),""),"")</f>
        <v>4,70</v>
      </c>
      <c r="E102" s="22" t="str">
        <f ca="1">IF(D4=TRUE,IF(MENU!F5,INDIRECT(ADDRESS(22,3,1,TRUE,MENU!G5)),""),"")</f>
        <v>7,34</v>
      </c>
      <c r="F102" s="22" t="str">
        <f ca="1">IF(D4=TRUE,IF(MENU!F5,INDIRECT(ADDRESS(22,4,1,TRUE,MENU!G5)),""),"")</f>
        <v>10,24</v>
      </c>
    </row>
    <row r="103" spans="2:6">
      <c r="B103" s="68" t="str">
        <f ca="1">IF(D4=TRUE,IF(MENU!F5,INDIRECT(ADDRESS(19,1,1,TRUE,MENU!$G$5)),""),"")</f>
        <v>I,      Zysk (strata) z działalności operacyjnej</v>
      </c>
      <c r="C103" s="69"/>
      <c r="D103" s="19" t="str">
        <f ca="1">IF(D4=TRUE,IF(MENU!F5,INDIRECT(ADDRESS(19,2,1,TRUE,MENU!$G$5)),""),"")</f>
        <v>-16,40</v>
      </c>
      <c r="E103" s="19" t="str">
        <f ca="1">IF(D4=TRUE,IF(MENU!F5,INDIRECT(ADDRESS(19,3,1,TRUE,MENU!$G$5)),""),"")</f>
        <v>-9,71</v>
      </c>
      <c r="F103" s="19" t="str">
        <f ca="1">IF(D4=TRUE,IF(MENU!F5,INDIRECT(ADDRESS(19,4,1,TRUE,MENU!$G$5)),""),"")</f>
        <v>46,43</v>
      </c>
    </row>
    <row r="104" spans="2:6" ht="13.9">
      <c r="B104" s="79" t="str">
        <f>IF(MENU!F5,"WWGZ")</f>
        <v>WWGZ</v>
      </c>
      <c r="C104" s="80"/>
      <c r="D104" s="21">
        <f ca="1">IF(D4=TRUE,IF(MENU!$F$5,(D$101+D$102)/D$103),"")</f>
        <v>-0.98048780487804899</v>
      </c>
      <c r="E104" s="21">
        <f ca="1">IF(D4=TRUE,IF(MENU!$F$5,(E$101+E$102)/E$103),"")</f>
        <v>-4.2100926879505653</v>
      </c>
      <c r="F104" s="21">
        <f ca="1">IF(D4=TRUE,IF(MENU!$F$5,(F$101+F$102)/F$103),"")</f>
        <v>2.8856342881757482</v>
      </c>
    </row>
    <row r="105" spans="2:6" ht="14.25" thickBot="1">
      <c r="B105" s="15"/>
      <c r="C105" s="16"/>
      <c r="D105" s="17"/>
      <c r="E105" s="17"/>
      <c r="F105" s="6"/>
    </row>
    <row r="106" spans="2:6" ht="21" thickBot="1">
      <c r="B106" s="70" t="s">
        <v>71</v>
      </c>
      <c r="C106" s="71"/>
      <c r="D106" s="26" t="s">
        <v>72</v>
      </c>
      <c r="E106" s="27" t="s">
        <v>73</v>
      </c>
    </row>
    <row r="107" spans="2:6" ht="30.6" customHeight="1">
      <c r="B107" s="72" t="str">
        <f ca="1">IF(MENU!$D$5,CONCATENATE(B104," ",Słownik!$A$6," ",D100," ",IF(D104&gt;0,Słownik!$A$7,Słownik!$A$8),"; ",IF(D104&gt;I19,Słownik!$A$9,IF(D104=I19,Słownik!$A$9,Słownik!$A$10)),""))</f>
        <v>WWGZ w roku 2024 jest ujemny; nie ma wartości należącej do zalecanego zakresu - to źle</v>
      </c>
      <c r="C107" s="73"/>
      <c r="D107" s="81" t="str">
        <f ca="1">IF(MENU!$D$5,CONCATENATE(B104," ",Słownik!$A$6," ",E101," ",IF(E104&lt;D104,Słownik!$A$5,IF(E104=D104,Słownik!$A$4,Słownik!$A$3))," ",Słownik!$A$13," ", D101))</f>
        <v>WWGZ w roku 33,54 zmalał względem 11,38</v>
      </c>
      <c r="E107" s="83" t="str">
        <f ca="1">IF(MENU!$D$5,CONCATENATE(B104," ",Słownik!$A$6," ",F101," ",IF(F104&lt;E104,Słownik!$A$5,IF(F104=E104,Słownik!$A$4,Słownik!$A$3))," ",Słownik!$A$13," ", E101))</f>
        <v>WWGZ w roku 123,74 wzrósł względem 33,54</v>
      </c>
    </row>
    <row r="108" spans="2:6" ht="30.6" customHeight="1">
      <c r="B108" s="86" t="str">
        <f ca="1">IF(MENU!$D$4,CONCATENATE(B104," ",Słownik!$A$6," ",E$28," ",IF(E104&gt;0,Słownik!$A$7,Słownik!$A$8),"; ",IF(E104&gt;I19,Słownik!$A$9,IF(E104=I19,Słownik!$A$9,Słownik!$A$10)),""))</f>
        <v>WWGZ w roku 2025 jest ujemny; nie ma wartości należącej do zalecanego zakresu - to źle</v>
      </c>
      <c r="C108" s="87"/>
      <c r="D108" s="82"/>
      <c r="E108" s="84"/>
    </row>
    <row r="109" spans="2:6" ht="30.6" customHeight="1" thickBot="1">
      <c r="B109" s="88" t="str">
        <f ca="1">IF(MENU!$D$4,CONCATENATE(B104," ",Słownik!$A$6," ",F101," ",IF(F104&gt;0,Słownik!$A$7,Słownik!$A$8),"; ",IF(F104&gt;I19,Słownik!$A$9,IF(F104=I19,Słownik!$A$9,Słownik!$A$10)),""))</f>
        <v>WWGZ w roku 123,74 jest dodatni; ma wartość należącą do zalecanego zakresu - to dobrze</v>
      </c>
      <c r="C109" s="89"/>
      <c r="D109" s="75"/>
      <c r="E109" s="85"/>
    </row>
    <row r="110" spans="2:6" ht="30.6" customHeight="1"/>
    <row r="111" spans="2:6" ht="30.6" customHeight="1"/>
    <row r="112" spans="2:6" ht="30.6" customHeight="1"/>
  </sheetData>
  <mergeCells count="91">
    <mergeCell ref="B29:C29"/>
    <mergeCell ref="B27:F27"/>
    <mergeCell ref="B43:F43"/>
    <mergeCell ref="B45:C45"/>
    <mergeCell ref="B31:C31"/>
    <mergeCell ref="B32:C32"/>
    <mergeCell ref="B30:C30"/>
    <mergeCell ref="B35:C35"/>
    <mergeCell ref="B36:C36"/>
    <mergeCell ref="B37:C37"/>
    <mergeCell ref="B34:C34"/>
    <mergeCell ref="B38:C38"/>
    <mergeCell ref="B39:C39"/>
    <mergeCell ref="B40:C40"/>
    <mergeCell ref="D35:D37"/>
    <mergeCell ref="E35:E37"/>
    <mergeCell ref="B99:F99"/>
    <mergeCell ref="B101:C101"/>
    <mergeCell ref="B102:C102"/>
    <mergeCell ref="B93:C93"/>
    <mergeCell ref="B94:C94"/>
    <mergeCell ref="D94:D96"/>
    <mergeCell ref="E94:E96"/>
    <mergeCell ref="B95:C95"/>
    <mergeCell ref="B104:C104"/>
    <mergeCell ref="D54:D56"/>
    <mergeCell ref="E54:E56"/>
    <mergeCell ref="B55:C55"/>
    <mergeCell ref="B4:B6"/>
    <mergeCell ref="B47:C47"/>
    <mergeCell ref="B59:F59"/>
    <mergeCell ref="B61:C61"/>
    <mergeCell ref="B62:C62"/>
    <mergeCell ref="B63:C63"/>
    <mergeCell ref="B64:C64"/>
    <mergeCell ref="B48:C48"/>
    <mergeCell ref="B46:C46"/>
    <mergeCell ref="B103:C103"/>
    <mergeCell ref="B87:F87"/>
    <mergeCell ref="B89:C89"/>
    <mergeCell ref="D38:D40"/>
    <mergeCell ref="E38:E40"/>
    <mergeCell ref="B50:C50"/>
    <mergeCell ref="D67:D69"/>
    <mergeCell ref="E67:E69"/>
    <mergeCell ref="B68:C68"/>
    <mergeCell ref="B69:C69"/>
    <mergeCell ref="D51:D53"/>
    <mergeCell ref="E51:E53"/>
    <mergeCell ref="B52:C52"/>
    <mergeCell ref="B53:C53"/>
    <mergeCell ref="B54:C54"/>
    <mergeCell ref="B70:C70"/>
    <mergeCell ref="D70:D72"/>
    <mergeCell ref="E70:E72"/>
    <mergeCell ref="B71:C71"/>
    <mergeCell ref="B72:C72"/>
    <mergeCell ref="D82:D84"/>
    <mergeCell ref="E82:E84"/>
    <mergeCell ref="B83:C83"/>
    <mergeCell ref="B84:C84"/>
    <mergeCell ref="B96:C96"/>
    <mergeCell ref="B90:C90"/>
    <mergeCell ref="B91:C91"/>
    <mergeCell ref="B106:C106"/>
    <mergeCell ref="B107:C107"/>
    <mergeCell ref="D107:D109"/>
    <mergeCell ref="E107:E109"/>
    <mergeCell ref="B108:C108"/>
    <mergeCell ref="B109:C109"/>
    <mergeCell ref="B28:C28"/>
    <mergeCell ref="B44:C44"/>
    <mergeCell ref="B100:C100"/>
    <mergeCell ref="B88:C88"/>
    <mergeCell ref="B76:C76"/>
    <mergeCell ref="B60:C60"/>
    <mergeCell ref="B81:C81"/>
    <mergeCell ref="B82:C82"/>
    <mergeCell ref="B56:C56"/>
    <mergeCell ref="B66:C66"/>
    <mergeCell ref="B67:C67"/>
    <mergeCell ref="B51:C51"/>
    <mergeCell ref="B75:F75"/>
    <mergeCell ref="B78:C78"/>
    <mergeCell ref="B79:C79"/>
    <mergeCell ref="B77:C77"/>
    <mergeCell ref="B17:B19"/>
    <mergeCell ref="B11:B12"/>
    <mergeCell ref="B13:B14"/>
    <mergeCell ref="B15:B16"/>
    <mergeCell ref="B23:F25"/>
  </mergeCells>
  <phoneticPr fontId="33" type="noConversion"/>
  <conditionalFormatting sqref="R37:R38">
    <cfRule type="containsText" dxfId="42" priority="124" operator="containsText" text="DOBRZE">
      <formula>NOT(ISERROR(SEARCH("DOBRZE",R37)))</formula>
    </cfRule>
    <cfRule type="containsText" dxfId="41" priority="125" operator="containsText" text="ŹLE">
      <formula>NOT(ISERROR(SEARCH("ŹLE",R37)))</formula>
    </cfRule>
  </conditionalFormatting>
  <conditionalFormatting sqref="R68:R70">
    <cfRule type="containsText" dxfId="40" priority="118" operator="containsText" text="DOBRZE">
      <formula>NOT(ISERROR(SEARCH("DOBRZE",R68)))</formula>
    </cfRule>
    <cfRule type="containsText" dxfId="39" priority="119" operator="containsText" text="ŹLE">
      <formula>NOT(ISERROR(SEARCH("ŹLE",R68)))</formula>
    </cfRule>
  </conditionalFormatting>
  <conditionalFormatting sqref="R71">
    <cfRule type="containsText" dxfId="38" priority="116" operator="containsText" text="DOBRZE">
      <formula>NOT(ISERROR(SEARCH("DOBRZE",R71)))</formula>
    </cfRule>
    <cfRule type="containsText" dxfId="37" priority="117" operator="containsText" text="ŹLE">
      <formula>NOT(ISERROR(SEARCH("ŹLE",R71)))</formula>
    </cfRule>
  </conditionalFormatting>
  <conditionalFormatting sqref="R35:R36 F38">
    <cfRule type="containsText" dxfId="36" priority="136" operator="containsText" text="DOBRZE">
      <formula>NOT(ISERROR(SEARCH("DOBRZE",F35)))</formula>
    </cfRule>
    <cfRule type="containsText" dxfId="35" priority="137" operator="containsText" text="ŹLE">
      <formula>NOT(ISERROR(SEARCH("ŹLE",F35)))</formula>
    </cfRule>
    <cfRule type="iconSet" priority="138">
      <iconSet iconSet="3Arrows">
        <cfvo type="percent" val="0"/>
        <cfvo type="percent" val="33"/>
        <cfvo type="percent" val="67"/>
      </iconSet>
    </cfRule>
  </conditionalFormatting>
  <conditionalFormatting sqref="F50:F56">
    <cfRule type="containsText" dxfId="34" priority="140" operator="containsText" text="DOBRZE">
      <formula>NOT(ISERROR(SEARCH("DOBRZE",F50)))</formula>
    </cfRule>
    <cfRule type="containsText" dxfId="33" priority="141" operator="containsText" text="ŹLE">
      <formula>NOT(ISERROR(SEARCH("ŹLE",F50)))</formula>
    </cfRule>
    <cfRule type="iconSet" priority="142">
      <iconSet iconSet="3Arrows">
        <cfvo type="percent" val="0"/>
        <cfvo type="percent" val="33"/>
        <cfvo type="percent" val="67"/>
      </iconSet>
    </cfRule>
  </conditionalFormatting>
  <conditionalFormatting sqref="B35:E35 B36:C37 B39:C41 B38:E38">
    <cfRule type="containsText" dxfId="32" priority="54" operator="containsText" text="źle">
      <formula>NOT(ISERROR(SEARCH("źle",B35)))</formula>
    </cfRule>
    <cfRule type="containsText" dxfId="31" priority="55" operator="containsText" text="dobrze">
      <formula>NOT(ISERROR(SEARCH("dobrze",B35)))</formula>
    </cfRule>
  </conditionalFormatting>
  <conditionalFormatting sqref="B35:C35">
    <cfRule type="containsText" dxfId="30" priority="57" operator="containsText" text="żle">
      <formula>NOT(ISERROR(SEARCH("żle",B35)))</formula>
    </cfRule>
  </conditionalFormatting>
  <conditionalFormatting sqref="B35:B41 D35:E35 D38:E38">
    <cfRule type="iconSet" priority="155">
      <iconSet iconSet="3Arrows">
        <cfvo type="percent" val="0"/>
        <cfvo type="percent" val="33"/>
        <cfvo type="percent" val="67"/>
      </iconSet>
    </cfRule>
  </conditionalFormatting>
  <conditionalFormatting sqref="D35:E41 D94:E98">
    <cfRule type="containsText" dxfId="29" priority="50" operator="containsText" text="wzrósł">
      <formula>NOT(ISERROR(SEARCH("wzrósł",D35)))</formula>
    </cfRule>
    <cfRule type="containsText" dxfId="28" priority="51" operator="containsText" text="nie zmienił się">
      <formula>NOT(ISERROR(SEARCH("nie zmienił się",D35)))</formula>
    </cfRule>
    <cfRule type="containsText" dxfId="27" priority="53" operator="containsText" text="zmalał">
      <formula>NOT(ISERROR(SEARCH("zmalał",D35)))</formula>
    </cfRule>
  </conditionalFormatting>
  <conditionalFormatting sqref="B51:E51 B52:C53 B55:C56 B54:E54">
    <cfRule type="containsText" dxfId="26" priority="32" operator="containsText" text="źle">
      <formula>NOT(ISERROR(SEARCH("źle",B51)))</formula>
    </cfRule>
    <cfRule type="containsText" dxfId="25" priority="33" operator="containsText" text="dobrze">
      <formula>NOT(ISERROR(SEARCH("dobrze",B51)))</formula>
    </cfRule>
  </conditionalFormatting>
  <conditionalFormatting sqref="B51:C51">
    <cfRule type="containsText" dxfId="24" priority="34" operator="containsText" text="żle">
      <formula>NOT(ISERROR(SEARCH("żle",B51)))</formula>
    </cfRule>
  </conditionalFormatting>
  <conditionalFormatting sqref="B51:B56 D51:E51 D54:E54">
    <cfRule type="iconSet" priority="35">
      <iconSet iconSet="3Arrows">
        <cfvo type="percent" val="0"/>
        <cfvo type="percent" val="33"/>
        <cfvo type="percent" val="67"/>
      </iconSet>
    </cfRule>
  </conditionalFormatting>
  <conditionalFormatting sqref="D51:E56">
    <cfRule type="containsText" dxfId="23" priority="29" operator="containsText" text="wzrósł">
      <formula>NOT(ISERROR(SEARCH("wzrósł",D51)))</formula>
    </cfRule>
    <cfRule type="containsText" dxfId="22" priority="30" operator="containsText" text="nie zmienił się">
      <formula>NOT(ISERROR(SEARCH("nie zmienił się",D51)))</formula>
    </cfRule>
    <cfRule type="containsText" dxfId="21" priority="31" operator="containsText" text="zmalał">
      <formula>NOT(ISERROR(SEARCH("zmalał",D51)))</formula>
    </cfRule>
  </conditionalFormatting>
  <conditionalFormatting sqref="B68:C69 B71:C73 B70:E70 B67:E67">
    <cfRule type="containsText" dxfId="20" priority="25" operator="containsText" text="źle">
      <formula>NOT(ISERROR(SEARCH("źle",B67)))</formula>
    </cfRule>
    <cfRule type="containsText" dxfId="19" priority="26" operator="containsText" text="dobrze">
      <formula>NOT(ISERROR(SEARCH("dobrze",B67)))</formula>
    </cfRule>
  </conditionalFormatting>
  <conditionalFormatting sqref="B67:C67">
    <cfRule type="containsText" dxfId="18" priority="27" operator="containsText" text="żle">
      <formula>NOT(ISERROR(SEARCH("żle",B67)))</formula>
    </cfRule>
  </conditionalFormatting>
  <conditionalFormatting sqref="B67:B73 D70:E70 D67:E67">
    <cfRule type="iconSet" priority="28">
      <iconSet iconSet="3Arrows">
        <cfvo type="percent" val="0"/>
        <cfvo type="percent" val="33"/>
        <cfvo type="percent" val="67"/>
      </iconSet>
    </cfRule>
  </conditionalFormatting>
  <conditionalFormatting sqref="D67:E73">
    <cfRule type="containsText" dxfId="17" priority="22" operator="containsText" text="wzrósł">
      <formula>NOT(ISERROR(SEARCH("wzrósł",D67)))</formula>
    </cfRule>
    <cfRule type="containsText" dxfId="16" priority="23" operator="containsText" text="nie zmienił się">
      <formula>NOT(ISERROR(SEARCH("nie zmienił się",D67)))</formula>
    </cfRule>
    <cfRule type="containsText" dxfId="15" priority="24" operator="containsText" text="zmalał">
      <formula>NOT(ISERROR(SEARCH("zmalał",D67)))</formula>
    </cfRule>
  </conditionalFormatting>
  <conditionalFormatting sqref="B95:C98 B94:E94">
    <cfRule type="containsText" dxfId="14" priority="18" operator="containsText" text="źle">
      <formula>NOT(ISERROR(SEARCH("źle",B94)))</formula>
    </cfRule>
    <cfRule type="containsText" dxfId="13" priority="19" operator="containsText" text="dobrze">
      <formula>NOT(ISERROR(SEARCH("dobrze",B94)))</formula>
    </cfRule>
  </conditionalFormatting>
  <conditionalFormatting sqref="B94:C94">
    <cfRule type="containsText" dxfId="12" priority="20" operator="containsText" text="żle">
      <formula>NOT(ISERROR(SEARCH("żle",B94)))</formula>
    </cfRule>
  </conditionalFormatting>
  <conditionalFormatting sqref="B94:B98 D94:E94">
    <cfRule type="iconSet" priority="156">
      <iconSet iconSet="3Arrows">
        <cfvo type="percent" val="0"/>
        <cfvo type="percent" val="33"/>
        <cfvo type="percent" val="67"/>
      </iconSet>
    </cfRule>
  </conditionalFormatting>
  <conditionalFormatting sqref="D82:E86">
    <cfRule type="containsText" dxfId="11" priority="11" operator="containsText" text="wzrósł">
      <formula>NOT(ISERROR(SEARCH("wzrósł",D82)))</formula>
    </cfRule>
    <cfRule type="containsText" dxfId="10" priority="12" operator="containsText" text="nie zmienił się">
      <formula>NOT(ISERROR(SEARCH("nie zmienił się",D82)))</formula>
    </cfRule>
    <cfRule type="containsText" dxfId="9" priority="13" operator="containsText" text="zmalał">
      <formula>NOT(ISERROR(SEARCH("zmalał",D82)))</formula>
    </cfRule>
  </conditionalFormatting>
  <conditionalFormatting sqref="B83:C86 B82:E82">
    <cfRule type="containsText" dxfId="8" priority="8" operator="containsText" text="źle">
      <formula>NOT(ISERROR(SEARCH("źle",B82)))</formula>
    </cfRule>
    <cfRule type="containsText" dxfId="7" priority="9" operator="containsText" text="dobrze">
      <formula>NOT(ISERROR(SEARCH("dobrze",B82)))</formula>
    </cfRule>
  </conditionalFormatting>
  <conditionalFormatting sqref="B82:C84">
    <cfRule type="containsText" dxfId="6" priority="10" operator="containsText" text="żle">
      <formula>NOT(ISERROR(SEARCH("żle",B82)))</formula>
    </cfRule>
  </conditionalFormatting>
  <conditionalFormatting sqref="B82:B86 D82:E82">
    <cfRule type="iconSet" priority="14">
      <iconSet iconSet="3Arrows">
        <cfvo type="percent" val="0"/>
        <cfvo type="percent" val="33"/>
        <cfvo type="percent" val="67"/>
      </iconSet>
    </cfRule>
  </conditionalFormatting>
  <conditionalFormatting sqref="D107:E109">
    <cfRule type="containsText" dxfId="5" priority="4" operator="containsText" text="wzrósł">
      <formula>NOT(ISERROR(SEARCH("wzrósł",D107)))</formula>
    </cfRule>
    <cfRule type="containsText" dxfId="4" priority="5" operator="containsText" text="nie zmienił się">
      <formula>NOT(ISERROR(SEARCH("nie zmienił się",D107)))</formula>
    </cfRule>
    <cfRule type="containsText" dxfId="3" priority="6" operator="containsText" text="zmalał">
      <formula>NOT(ISERROR(SEARCH("zmalał",D107)))</formula>
    </cfRule>
  </conditionalFormatting>
  <conditionalFormatting sqref="B108:C109 B107:E107">
    <cfRule type="containsText" dxfId="2" priority="1" operator="containsText" text="źle">
      <formula>NOT(ISERROR(SEARCH("źle",B107)))</formula>
    </cfRule>
    <cfRule type="containsText" dxfId="1" priority="2" operator="containsText" text="dobrze">
      <formula>NOT(ISERROR(SEARCH("dobrze",B107)))</formula>
    </cfRule>
  </conditionalFormatting>
  <conditionalFormatting sqref="B107:C107">
    <cfRule type="containsText" dxfId="0" priority="3" operator="containsText" text="żle">
      <formula>NOT(ISERROR(SEARCH("żle",B107)))</formula>
    </cfRule>
  </conditionalFormatting>
  <conditionalFormatting sqref="B107:B109 D107:E107">
    <cfRule type="iconSet" priority="7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Przycisk1_Click">
                <anchor moveWithCells="1">
                  <from>
                    <xdr:col>6</xdr:col>
                    <xdr:colOff>471488</xdr:colOff>
                    <xdr:row>26</xdr:row>
                    <xdr:rowOff>38100</xdr:rowOff>
                  </from>
                  <to>
                    <xdr:col>6</xdr:col>
                    <xdr:colOff>1881188</xdr:colOff>
                    <xdr:row>28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Przycisk2_Click">
                <anchor moveWithCells="1">
                  <from>
                    <xdr:col>6</xdr:col>
                    <xdr:colOff>471488</xdr:colOff>
                    <xdr:row>29</xdr:row>
                    <xdr:rowOff>61913</xdr:rowOff>
                  </from>
                  <to>
                    <xdr:col>6</xdr:col>
                    <xdr:colOff>1881188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print="0" autoFill="0" autoPict="0" macro="[0]!Przycisk3_Click">
                <anchor moveWithCells="1">
                  <from>
                    <xdr:col>6</xdr:col>
                    <xdr:colOff>471488</xdr:colOff>
                    <xdr:row>42</xdr:row>
                    <xdr:rowOff>23813</xdr:rowOff>
                  </from>
                  <to>
                    <xdr:col>6</xdr:col>
                    <xdr:colOff>1852613</xdr:colOff>
                    <xdr:row>45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print="0" autoFill="0" autoPict="0" macro="[0]!Przycisk4_Click">
                <anchor moveWithCells="1">
                  <from>
                    <xdr:col>6</xdr:col>
                    <xdr:colOff>442913</xdr:colOff>
                    <xdr:row>45</xdr:row>
                    <xdr:rowOff>138113</xdr:rowOff>
                  </from>
                  <to>
                    <xdr:col>6</xdr:col>
                    <xdr:colOff>1843088</xdr:colOff>
                    <xdr:row>48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Przycisk5_Click">
                <anchor moveWithCells="1">
                  <from>
                    <xdr:col>6</xdr:col>
                    <xdr:colOff>471488</xdr:colOff>
                    <xdr:row>58</xdr:row>
                    <xdr:rowOff>100013</xdr:rowOff>
                  </from>
                  <to>
                    <xdr:col>6</xdr:col>
                    <xdr:colOff>1843088</xdr:colOff>
                    <xdr:row>61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Button 15">
              <controlPr defaultSize="0" print="0" autoFill="0" autoPict="0" macro="[0]!Przycisk6_Click">
                <anchor moveWithCells="1">
                  <from>
                    <xdr:col>6</xdr:col>
                    <xdr:colOff>471488</xdr:colOff>
                    <xdr:row>61</xdr:row>
                    <xdr:rowOff>152400</xdr:rowOff>
                  </from>
                  <to>
                    <xdr:col>6</xdr:col>
                    <xdr:colOff>1843088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0" name="Button 20">
              <controlPr defaultSize="0" print="0" autoFill="0" autoPict="0" macro="[0]!Przycisk7_Click">
                <anchor moveWithCells="1">
                  <from>
                    <xdr:col>7</xdr:col>
                    <xdr:colOff>61913</xdr:colOff>
                    <xdr:row>21</xdr:row>
                    <xdr:rowOff>14288</xdr:rowOff>
                  </from>
                  <to>
                    <xdr:col>8</xdr:col>
                    <xdr:colOff>176213</xdr:colOff>
                    <xdr:row>25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1" name="Button 21">
              <controlPr defaultSize="0" print="0" autoFill="0" autoPict="0" macro="[0]!Przycisk8_Click">
                <anchor moveWithCells="1">
                  <from>
                    <xdr:col>8</xdr:col>
                    <xdr:colOff>242888</xdr:colOff>
                    <xdr:row>20</xdr:row>
                    <xdr:rowOff>166688</xdr:rowOff>
                  </from>
                  <to>
                    <xdr:col>10</xdr:col>
                    <xdr:colOff>38100</xdr:colOff>
                    <xdr:row>25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Przycisk_wczytywania">
              <controlPr defaultSize="0" print="0" autoFill="0" autoPict="0" macro="[0]!Przycisk_wczytywania_Click">
                <anchor moveWithCells="1" sizeWithCells="1">
                  <from>
                    <xdr:col>7</xdr:col>
                    <xdr:colOff>190500</xdr:colOff>
                    <xdr:row>0</xdr:row>
                    <xdr:rowOff>114300</xdr:rowOff>
                  </from>
                  <to>
                    <xdr:col>7</xdr:col>
                    <xdr:colOff>1243013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3" name="CkeckBox1">
              <controlPr defaultSize="0" autoFill="0" autoLine="0" autoPict="0">
                <anchor moveWithCells="1">
                  <from>
                    <xdr:col>2</xdr:col>
                    <xdr:colOff>280988</xdr:colOff>
                    <xdr:row>2</xdr:row>
                    <xdr:rowOff>166688</xdr:rowOff>
                  </from>
                  <to>
                    <xdr:col>2</xdr:col>
                    <xdr:colOff>1166813</xdr:colOff>
                    <xdr:row>4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4" name="ChechBox2">
              <controlPr defaultSize="0" autoFill="0" autoLine="0" autoPict="0">
                <anchor moveWithCells="1">
                  <from>
                    <xdr:col>2</xdr:col>
                    <xdr:colOff>290513</xdr:colOff>
                    <xdr:row>3</xdr:row>
                    <xdr:rowOff>152400</xdr:rowOff>
                  </from>
                  <to>
                    <xdr:col>2</xdr:col>
                    <xdr:colOff>1166813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5" name="CheckBox3">
              <controlPr defaultSize="0" autoFill="0" autoLine="0" autoPict="0">
                <anchor moveWithCells="1">
                  <from>
                    <xdr:col>2</xdr:col>
                    <xdr:colOff>290513</xdr:colOff>
                    <xdr:row>4</xdr:row>
                    <xdr:rowOff>152400</xdr:rowOff>
                  </from>
                  <to>
                    <xdr:col>2</xdr:col>
                    <xdr:colOff>1166813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6" name="Button 34">
              <controlPr defaultSize="0" print="0" autoFill="0" autoPict="0" macro="[0]!UsunArkuszeJesliIstnieja">
                <anchor moveWithCells="1">
                  <from>
                    <xdr:col>7</xdr:col>
                    <xdr:colOff>1357313</xdr:colOff>
                    <xdr:row>0</xdr:row>
                    <xdr:rowOff>90488</xdr:rowOff>
                  </from>
                  <to>
                    <xdr:col>9</xdr:col>
                    <xdr:colOff>176213</xdr:colOff>
                    <xdr:row>5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7" name="Button 35">
              <controlPr defaultSize="0" print="0" autoFill="0" autoPict="0" macro="[0]!ZaznaczWszystko">
                <anchor moveWithCells="1">
                  <from>
                    <xdr:col>7</xdr:col>
                    <xdr:colOff>190500</xdr:colOff>
                    <xdr:row>6</xdr:row>
                    <xdr:rowOff>23813</xdr:rowOff>
                  </from>
                  <to>
                    <xdr:col>7</xdr:col>
                    <xdr:colOff>1219200</xdr:colOff>
                    <xdr:row>8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18" name="Button 37">
              <controlPr defaultSize="0" print="0" autoFill="0" autoPict="0" macro="[0]!OdznaczWszystko">
                <anchor moveWithCells="1">
                  <from>
                    <xdr:col>8</xdr:col>
                    <xdr:colOff>0</xdr:colOff>
                    <xdr:row>6</xdr:row>
                    <xdr:rowOff>14288</xdr:rowOff>
                  </from>
                  <to>
                    <xdr:col>9</xdr:col>
                    <xdr:colOff>128588</xdr:colOff>
                    <xdr:row>8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19" name="Button 38">
              <controlPr defaultSize="0" print="0" autoFill="0" autoPict="0" macro="[0]!HelpPrzejdz">
                <anchor moveWithCells="1" sizeWithCells="1">
                  <from>
                    <xdr:col>9</xdr:col>
                    <xdr:colOff>814388</xdr:colOff>
                    <xdr:row>0</xdr:row>
                    <xdr:rowOff>176213</xdr:rowOff>
                  </from>
                  <to>
                    <xdr:col>12</xdr:col>
                    <xdr:colOff>419100</xdr:colOff>
                    <xdr:row>8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2:A13"/>
  <sheetViews>
    <sheetView workbookViewId="0">
      <selection activeCell="I12" sqref="I12"/>
    </sheetView>
  </sheetViews>
  <sheetFormatPr defaultColWidth="8.875" defaultRowHeight="13.5"/>
  <cols>
    <col min="1" max="1" width="22" bestFit="1" customWidth="1"/>
    <col min="3" max="3" width="12.125" customWidth="1"/>
  </cols>
  <sheetData>
    <row r="2" spans="1:1" ht="13.9">
      <c r="A2" s="2" t="s">
        <v>74</v>
      </c>
    </row>
    <row r="3" spans="1:1">
      <c r="A3" t="s">
        <v>75</v>
      </c>
    </row>
    <row r="4" spans="1:1">
      <c r="A4" t="s">
        <v>76</v>
      </c>
    </row>
    <row r="5" spans="1:1">
      <c r="A5" t="s">
        <v>77</v>
      </c>
    </row>
    <row r="6" spans="1:1">
      <c r="A6" t="s">
        <v>78</v>
      </c>
    </row>
    <row r="7" spans="1:1">
      <c r="A7" t="s">
        <v>79</v>
      </c>
    </row>
    <row r="8" spans="1:1">
      <c r="A8" t="s">
        <v>80</v>
      </c>
    </row>
    <row r="9" spans="1:1">
      <c r="A9" t="s">
        <v>81</v>
      </c>
    </row>
    <row r="10" spans="1:1">
      <c r="A10" t="s">
        <v>82</v>
      </c>
    </row>
    <row r="11" spans="1:1">
      <c r="A11" t="s">
        <v>83</v>
      </c>
    </row>
    <row r="12" spans="1:1">
      <c r="A12" t="s">
        <v>84</v>
      </c>
    </row>
    <row r="13" spans="1:1">
      <c r="A13" t="s">
        <v>85</v>
      </c>
    </row>
  </sheetData>
  <phoneticPr fontId="0" type="noConversion"/>
  <pageMargins left="0.7" right="0.7" top="0.75" bottom="0.75" header="0.3" footer="0.3"/>
  <pageSetup paperSize="9" orientation="portrait" horizontalDpi="4294967294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2EE0F-3BE0-43A4-8C49-5EFECBDA8B61}">
  <dimension ref="A1:D46"/>
  <sheetViews>
    <sheetView showGridLines="0" workbookViewId="0">
      <selection sqref="A1:D1"/>
    </sheetView>
  </sheetViews>
  <sheetFormatPr defaultRowHeight="14.25"/>
  <cols>
    <col min="1" max="1" width="34" style="44" bestFit="1" customWidth="1"/>
    <col min="2" max="2" width="6.8125" style="44" customWidth="1"/>
    <col min="3" max="4" width="7.4375" style="44" customWidth="1"/>
    <col min="5" max="16384" width="9" style="44"/>
  </cols>
  <sheetData>
    <row r="1" spans="1:4" ht="17.649999999999999" customHeight="1">
      <c r="A1" s="100" t="s">
        <v>248</v>
      </c>
      <c r="B1" s="101"/>
      <c r="C1" s="101"/>
      <c r="D1" s="101"/>
    </row>
    <row r="2" spans="1:4" ht="15.75" customHeight="1">
      <c r="A2" s="102" t="s">
        <v>88</v>
      </c>
      <c r="B2" s="101"/>
      <c r="C2" s="101"/>
      <c r="D2" s="101"/>
    </row>
    <row r="3" spans="1:4" ht="15.75" customHeight="1">
      <c r="A3" s="102" t="s">
        <v>89</v>
      </c>
      <c r="B3" s="101"/>
      <c r="C3" s="101"/>
      <c r="D3" s="101"/>
    </row>
    <row r="4" spans="1:4" ht="14.25" customHeight="1">
      <c r="A4" s="103" t="s">
        <v>247</v>
      </c>
      <c r="B4" s="104"/>
      <c r="C4" s="104"/>
      <c r="D4" s="105"/>
    </row>
    <row r="5" spans="1:4" ht="14.25" customHeight="1">
      <c r="A5" s="106" t="s">
        <v>246</v>
      </c>
      <c r="B5" s="103" t="s">
        <v>240</v>
      </c>
      <c r="C5" s="104"/>
      <c r="D5" s="105"/>
    </row>
    <row r="6" spans="1:4">
      <c r="A6" s="107"/>
      <c r="B6" s="46">
        <v>2024</v>
      </c>
      <c r="C6" s="46">
        <v>2025</v>
      </c>
      <c r="D6" s="46">
        <v>2026</v>
      </c>
    </row>
    <row r="7" spans="1:4">
      <c r="A7" s="46" t="s">
        <v>249</v>
      </c>
      <c r="B7" s="47" t="s">
        <v>250</v>
      </c>
      <c r="C7" s="47" t="s">
        <v>251</v>
      </c>
      <c r="D7" s="47" t="s">
        <v>252</v>
      </c>
    </row>
    <row r="8" spans="1:4">
      <c r="A8" s="46" t="s">
        <v>253</v>
      </c>
      <c r="B8" s="47" t="s">
        <v>250</v>
      </c>
      <c r="C8" s="47" t="s">
        <v>251</v>
      </c>
      <c r="D8" s="47" t="s">
        <v>252</v>
      </c>
    </row>
    <row r="9" spans="1:4">
      <c r="A9" s="46" t="s">
        <v>254</v>
      </c>
      <c r="B9" s="47" t="s">
        <v>255</v>
      </c>
      <c r="C9" s="47" t="s">
        <v>256</v>
      </c>
      <c r="D9" s="47" t="s">
        <v>257</v>
      </c>
    </row>
    <row r="10" spans="1:4">
      <c r="A10" s="46" t="s">
        <v>245</v>
      </c>
      <c r="B10" s="47" t="s">
        <v>258</v>
      </c>
      <c r="C10" s="47" t="s">
        <v>259</v>
      </c>
      <c r="D10" s="47" t="s">
        <v>260</v>
      </c>
    </row>
    <row r="11" spans="1:4" ht="28.5">
      <c r="A11" s="46" t="s">
        <v>261</v>
      </c>
      <c r="B11" s="47" t="s">
        <v>262</v>
      </c>
      <c r="C11" s="47" t="s">
        <v>263</v>
      </c>
      <c r="D11" s="47" t="s">
        <v>264</v>
      </c>
    </row>
    <row r="12" spans="1:4">
      <c r="A12" s="46" t="s">
        <v>244</v>
      </c>
      <c r="B12" s="47" t="s">
        <v>265</v>
      </c>
      <c r="C12" s="47" t="s">
        <v>266</v>
      </c>
      <c r="D12" s="47" t="s">
        <v>267</v>
      </c>
    </row>
    <row r="13" spans="1:4">
      <c r="A13" s="46" t="s">
        <v>243</v>
      </c>
      <c r="B13" s="47" t="s">
        <v>268</v>
      </c>
      <c r="C13" s="47" t="s">
        <v>269</v>
      </c>
      <c r="D13" s="47" t="s">
        <v>270</v>
      </c>
    </row>
    <row r="14" spans="1:4">
      <c r="A14" s="46" t="s">
        <v>271</v>
      </c>
      <c r="B14" s="47" t="s">
        <v>272</v>
      </c>
      <c r="C14" s="47" t="s">
        <v>273</v>
      </c>
      <c r="D14" s="47" t="s">
        <v>273</v>
      </c>
    </row>
    <row r="15" spans="1:4">
      <c r="A15" s="46" t="s">
        <v>274</v>
      </c>
      <c r="B15" s="47" t="s">
        <v>275</v>
      </c>
      <c r="C15" s="47" t="s">
        <v>276</v>
      </c>
      <c r="D15" s="47" t="s">
        <v>277</v>
      </c>
    </row>
    <row r="16" spans="1:4">
      <c r="A16" s="46" t="s">
        <v>278</v>
      </c>
      <c r="B16" s="47" t="s">
        <v>279</v>
      </c>
      <c r="C16" s="47" t="s">
        <v>280</v>
      </c>
      <c r="D16" s="47" t="s">
        <v>281</v>
      </c>
    </row>
    <row r="17" spans="1:4">
      <c r="A17" s="46" t="s">
        <v>282</v>
      </c>
      <c r="B17" s="47" t="s">
        <v>283</v>
      </c>
      <c r="C17" s="47" t="s">
        <v>284</v>
      </c>
      <c r="D17" s="47" t="s">
        <v>285</v>
      </c>
    </row>
    <row r="18" spans="1:4">
      <c r="A18" s="46" t="s">
        <v>286</v>
      </c>
      <c r="B18" s="47" t="s">
        <v>140</v>
      </c>
      <c r="C18" s="47" t="s">
        <v>287</v>
      </c>
      <c r="D18" s="47" t="s">
        <v>288</v>
      </c>
    </row>
    <row r="19" spans="1:4">
      <c r="A19" s="46" t="s">
        <v>289</v>
      </c>
      <c r="B19" s="47" t="s">
        <v>290</v>
      </c>
      <c r="C19" s="47" t="s">
        <v>291</v>
      </c>
      <c r="D19" s="47" t="s">
        <v>292</v>
      </c>
    </row>
    <row r="20" spans="1:4">
      <c r="A20" s="46" t="s">
        <v>293</v>
      </c>
      <c r="B20" s="47" t="s">
        <v>294</v>
      </c>
      <c r="C20" s="47" t="s">
        <v>295</v>
      </c>
      <c r="D20" s="47" t="s">
        <v>296</v>
      </c>
    </row>
    <row r="21" spans="1:4">
      <c r="A21" s="46" t="s">
        <v>297</v>
      </c>
      <c r="B21" s="47" t="s">
        <v>294</v>
      </c>
      <c r="C21" s="47" t="s">
        <v>295</v>
      </c>
      <c r="D21" s="47" t="s">
        <v>296</v>
      </c>
    </row>
    <row r="22" spans="1:4">
      <c r="A22" s="46" t="s">
        <v>298</v>
      </c>
      <c r="B22" s="47" t="s">
        <v>294</v>
      </c>
      <c r="C22" s="47" t="s">
        <v>295</v>
      </c>
      <c r="D22" s="47" t="s">
        <v>296</v>
      </c>
    </row>
    <row r="23" spans="1:4">
      <c r="A23" s="46" t="s">
        <v>299</v>
      </c>
      <c r="B23" s="47" t="s">
        <v>233</v>
      </c>
      <c r="C23" s="47" t="s">
        <v>148</v>
      </c>
      <c r="D23" s="47" t="s">
        <v>148</v>
      </c>
    </row>
    <row r="24" spans="1:4">
      <c r="A24" s="46" t="s">
        <v>300</v>
      </c>
      <c r="B24" s="47" t="s">
        <v>233</v>
      </c>
      <c r="C24" s="47" t="s">
        <v>148</v>
      </c>
      <c r="D24" s="47" t="s">
        <v>148</v>
      </c>
    </row>
    <row r="25" spans="1:4" ht="28.5">
      <c r="A25" s="46" t="s">
        <v>301</v>
      </c>
      <c r="B25" s="47" t="s">
        <v>233</v>
      </c>
      <c r="C25" s="47" t="s">
        <v>148</v>
      </c>
      <c r="D25" s="47" t="s">
        <v>148</v>
      </c>
    </row>
    <row r="26" spans="1:4">
      <c r="A26" s="46" t="s">
        <v>242</v>
      </c>
      <c r="B26" s="45" t="s">
        <v>302</v>
      </c>
      <c r="C26" s="45" t="s">
        <v>303</v>
      </c>
      <c r="D26" s="45" t="s">
        <v>304</v>
      </c>
    </row>
    <row r="27" spans="1:4" ht="14.25" customHeight="1">
      <c r="A27" s="106" t="s">
        <v>241</v>
      </c>
      <c r="B27" s="103" t="s">
        <v>240</v>
      </c>
      <c r="C27" s="104"/>
      <c r="D27" s="105"/>
    </row>
    <row r="28" spans="1:4">
      <c r="A28" s="107"/>
      <c r="B28" s="46">
        <v>2024</v>
      </c>
      <c r="C28" s="46">
        <v>2025</v>
      </c>
      <c r="D28" s="46">
        <v>2026</v>
      </c>
    </row>
    <row r="29" spans="1:4">
      <c r="A29" s="46" t="s">
        <v>305</v>
      </c>
      <c r="B29" s="47" t="s">
        <v>306</v>
      </c>
      <c r="C29" s="47" t="s">
        <v>307</v>
      </c>
      <c r="D29" s="47" t="s">
        <v>308</v>
      </c>
    </row>
    <row r="30" spans="1:4">
      <c r="A30" s="46" t="s">
        <v>309</v>
      </c>
      <c r="B30" s="47" t="s">
        <v>306</v>
      </c>
      <c r="C30" s="47" t="s">
        <v>307</v>
      </c>
      <c r="D30" s="47" t="s">
        <v>307</v>
      </c>
    </row>
    <row r="31" spans="1:4">
      <c r="A31" s="46" t="s">
        <v>310</v>
      </c>
      <c r="B31" s="47" t="s">
        <v>148</v>
      </c>
      <c r="C31" s="47" t="s">
        <v>148</v>
      </c>
      <c r="D31" s="47" t="s">
        <v>148</v>
      </c>
    </row>
    <row r="32" spans="1:4">
      <c r="A32" s="46" t="s">
        <v>311</v>
      </c>
      <c r="B32" s="47" t="s">
        <v>148</v>
      </c>
      <c r="C32" s="47" t="s">
        <v>148</v>
      </c>
      <c r="D32" s="47" t="s">
        <v>158</v>
      </c>
    </row>
    <row r="33" spans="1:4">
      <c r="A33" s="46" t="s">
        <v>312</v>
      </c>
      <c r="B33" s="47" t="s">
        <v>144</v>
      </c>
      <c r="C33" s="47" t="s">
        <v>145</v>
      </c>
      <c r="D33" s="47" t="s">
        <v>154</v>
      </c>
    </row>
    <row r="34" spans="1:4" ht="28.5">
      <c r="A34" s="46" t="s">
        <v>313</v>
      </c>
      <c r="B34" s="47" t="s">
        <v>314</v>
      </c>
      <c r="C34" s="47" t="s">
        <v>315</v>
      </c>
      <c r="D34" s="47" t="s">
        <v>316</v>
      </c>
    </row>
    <row r="35" spans="1:4">
      <c r="A35" s="46" t="s">
        <v>317</v>
      </c>
      <c r="B35" s="47" t="s">
        <v>318</v>
      </c>
      <c r="C35" s="47" t="s">
        <v>319</v>
      </c>
      <c r="D35" s="47" t="s">
        <v>320</v>
      </c>
    </row>
    <row r="36" spans="1:4" ht="28.5">
      <c r="A36" s="46" t="s">
        <v>321</v>
      </c>
      <c r="B36" s="47" t="s">
        <v>318</v>
      </c>
      <c r="C36" s="47" t="s">
        <v>319</v>
      </c>
      <c r="D36" s="47" t="s">
        <v>320</v>
      </c>
    </row>
    <row r="37" spans="1:4">
      <c r="A37" s="46" t="s">
        <v>322</v>
      </c>
      <c r="B37" s="47" t="s">
        <v>318</v>
      </c>
      <c r="C37" s="47" t="s">
        <v>319</v>
      </c>
      <c r="D37" s="47" t="s">
        <v>320</v>
      </c>
    </row>
    <row r="38" spans="1:4" ht="28.5">
      <c r="A38" s="46" t="s">
        <v>239</v>
      </c>
      <c r="B38" s="47" t="s">
        <v>323</v>
      </c>
      <c r="C38" s="47" t="s">
        <v>324</v>
      </c>
      <c r="D38" s="47" t="s">
        <v>325</v>
      </c>
    </row>
    <row r="39" spans="1:4">
      <c r="A39" s="46" t="s">
        <v>238</v>
      </c>
      <c r="B39" s="47" t="s">
        <v>326</v>
      </c>
      <c r="C39" s="47" t="s">
        <v>327</v>
      </c>
      <c r="D39" s="47" t="s">
        <v>328</v>
      </c>
    </row>
    <row r="40" spans="1:4">
      <c r="A40" s="46" t="s">
        <v>329</v>
      </c>
      <c r="B40" s="47" t="s">
        <v>330</v>
      </c>
      <c r="C40" s="47" t="s">
        <v>331</v>
      </c>
      <c r="D40" s="47" t="s">
        <v>332</v>
      </c>
    </row>
    <row r="41" spans="1:4">
      <c r="A41" s="46" t="s">
        <v>333</v>
      </c>
      <c r="B41" s="47" t="s">
        <v>330</v>
      </c>
      <c r="C41" s="47" t="s">
        <v>331</v>
      </c>
      <c r="D41" s="47" t="s">
        <v>332</v>
      </c>
    </row>
    <row r="42" spans="1:4">
      <c r="A42" s="46" t="s">
        <v>334</v>
      </c>
      <c r="B42" s="47" t="s">
        <v>148</v>
      </c>
      <c r="C42" s="47" t="s">
        <v>148</v>
      </c>
      <c r="D42" s="47" t="s">
        <v>148</v>
      </c>
    </row>
    <row r="43" spans="1:4" ht="28.5">
      <c r="A43" s="46" t="s">
        <v>335</v>
      </c>
      <c r="B43" s="47" t="s">
        <v>148</v>
      </c>
      <c r="C43" s="47" t="s">
        <v>148</v>
      </c>
      <c r="D43" s="47" t="s">
        <v>148</v>
      </c>
    </row>
    <row r="44" spans="1:4">
      <c r="A44" s="46" t="s">
        <v>336</v>
      </c>
      <c r="B44" s="47" t="s">
        <v>148</v>
      </c>
      <c r="C44" s="47" t="s">
        <v>148</v>
      </c>
      <c r="D44" s="47" t="s">
        <v>148</v>
      </c>
    </row>
    <row r="45" spans="1:4" ht="28.5">
      <c r="A45" s="46" t="s">
        <v>337</v>
      </c>
      <c r="B45" s="47" t="s">
        <v>330</v>
      </c>
      <c r="C45" s="47" t="s">
        <v>331</v>
      </c>
      <c r="D45" s="47" t="s">
        <v>332</v>
      </c>
    </row>
    <row r="46" spans="1:4">
      <c r="A46" s="46" t="s">
        <v>237</v>
      </c>
      <c r="B46" s="45" t="s">
        <v>302</v>
      </c>
      <c r="C46" s="45" t="s">
        <v>303</v>
      </c>
      <c r="D46" s="45" t="s">
        <v>304</v>
      </c>
    </row>
  </sheetData>
  <mergeCells count="8">
    <mergeCell ref="A27:A28"/>
    <mergeCell ref="B27:D27"/>
    <mergeCell ref="A1:D1"/>
    <mergeCell ref="A2:D2"/>
    <mergeCell ref="A3:D3"/>
    <mergeCell ref="A4:D4"/>
    <mergeCell ref="A5:A6"/>
    <mergeCell ref="B5:D5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76892-8930-4661-A4DB-18AC567948E4}">
  <dimension ref="A1:D42"/>
  <sheetViews>
    <sheetView showGridLines="0" workbookViewId="0">
      <selection sqref="A1:D1"/>
    </sheetView>
  </sheetViews>
  <sheetFormatPr defaultRowHeight="14.25"/>
  <cols>
    <col min="1" max="1" width="34" style="44" bestFit="1" customWidth="1"/>
    <col min="2" max="2" width="5.8125" style="44" customWidth="1"/>
    <col min="3" max="4" width="6.1875" style="44" customWidth="1"/>
    <col min="5" max="16384" width="9" style="44"/>
  </cols>
  <sheetData>
    <row r="1" spans="1:4" ht="35.25" customHeight="1">
      <c r="A1" s="100" t="s">
        <v>86</v>
      </c>
      <c r="B1" s="101"/>
      <c r="C1" s="101"/>
      <c r="D1" s="101"/>
    </row>
    <row r="2" spans="1:4" ht="17.649999999999999" customHeight="1">
      <c r="A2" s="100" t="s">
        <v>87</v>
      </c>
      <c r="B2" s="101"/>
      <c r="C2" s="101"/>
      <c r="D2" s="101"/>
    </row>
    <row r="3" spans="1:4" ht="15.75" customHeight="1">
      <c r="A3" s="102" t="s">
        <v>88</v>
      </c>
      <c r="B3" s="101"/>
      <c r="C3" s="101"/>
      <c r="D3" s="101"/>
    </row>
    <row r="4" spans="1:4" ht="15.75" customHeight="1">
      <c r="A4" s="102" t="s">
        <v>89</v>
      </c>
      <c r="B4" s="101"/>
      <c r="C4" s="101"/>
      <c r="D4" s="101"/>
    </row>
    <row r="5" spans="1:4" ht="14.25" customHeight="1">
      <c r="A5" s="103" t="s">
        <v>90</v>
      </c>
      <c r="B5" s="104"/>
      <c r="C5" s="104"/>
      <c r="D5" s="105"/>
    </row>
    <row r="6" spans="1:4" ht="14.25" customHeight="1">
      <c r="A6" s="49" t="s">
        <v>91</v>
      </c>
      <c r="B6" s="103" t="s">
        <v>92</v>
      </c>
      <c r="C6" s="104"/>
      <c r="D6" s="105"/>
    </row>
    <row r="7" spans="1:4">
      <c r="A7" s="48" t="s">
        <v>93</v>
      </c>
      <c r="B7" s="46">
        <v>2024</v>
      </c>
      <c r="C7" s="46">
        <v>2025</v>
      </c>
      <c r="D7" s="46">
        <v>2026</v>
      </c>
    </row>
    <row r="8" spans="1:4" ht="28.5">
      <c r="A8" s="50" t="s">
        <v>94</v>
      </c>
      <c r="B8" s="47" t="s">
        <v>95</v>
      </c>
      <c r="C8" s="47" t="s">
        <v>96</v>
      </c>
      <c r="D8" s="47" t="s">
        <v>97</v>
      </c>
    </row>
    <row r="9" spans="1:4" ht="28.5">
      <c r="A9" s="50" t="s">
        <v>98</v>
      </c>
      <c r="B9" s="47" t="s">
        <v>95</v>
      </c>
      <c r="C9" s="47" t="s">
        <v>96</v>
      </c>
      <c r="D9" s="47" t="s">
        <v>97</v>
      </c>
    </row>
    <row r="10" spans="1:4" ht="28.5">
      <c r="A10" s="50" t="s">
        <v>99</v>
      </c>
      <c r="B10" s="47" t="s">
        <v>95</v>
      </c>
      <c r="C10" s="47" t="s">
        <v>96</v>
      </c>
      <c r="D10" s="47" t="s">
        <v>97</v>
      </c>
    </row>
    <row r="11" spans="1:4" ht="28.5">
      <c r="A11" s="50" t="s">
        <v>100</v>
      </c>
      <c r="B11" s="47" t="s">
        <v>101</v>
      </c>
      <c r="C11" s="47" t="s">
        <v>102</v>
      </c>
      <c r="D11" s="47" t="s">
        <v>103</v>
      </c>
    </row>
    <row r="12" spans="1:4" ht="28.5">
      <c r="A12" s="50" t="s">
        <v>104</v>
      </c>
      <c r="B12" s="47" t="s">
        <v>101</v>
      </c>
      <c r="C12" s="47" t="s">
        <v>102</v>
      </c>
      <c r="D12" s="47" t="s">
        <v>103</v>
      </c>
    </row>
    <row r="13" spans="1:4" ht="28.5">
      <c r="A13" s="51" t="s">
        <v>105</v>
      </c>
      <c r="B13" s="47" t="s">
        <v>106</v>
      </c>
      <c r="C13" s="47" t="s">
        <v>107</v>
      </c>
      <c r="D13" s="47" t="s">
        <v>108</v>
      </c>
    </row>
    <row r="14" spans="1:4">
      <c r="A14" s="50" t="s">
        <v>109</v>
      </c>
      <c r="B14" s="47" t="s">
        <v>110</v>
      </c>
      <c r="C14" s="47" t="s">
        <v>111</v>
      </c>
      <c r="D14" s="47" t="s">
        <v>112</v>
      </c>
    </row>
    <row r="15" spans="1:4">
      <c r="A15" s="50" t="s">
        <v>113</v>
      </c>
      <c r="B15" s="47" t="s">
        <v>114</v>
      </c>
      <c r="C15" s="47" t="s">
        <v>115</v>
      </c>
      <c r="D15" s="47" t="s">
        <v>116</v>
      </c>
    </row>
    <row r="16" spans="1:4">
      <c r="A16" s="51" t="s">
        <v>117</v>
      </c>
      <c r="B16" s="47" t="s">
        <v>118</v>
      </c>
      <c r="C16" s="47" t="s">
        <v>119</v>
      </c>
      <c r="D16" s="47" t="s">
        <v>120</v>
      </c>
    </row>
    <row r="17" spans="1:4">
      <c r="A17" s="50" t="s">
        <v>121</v>
      </c>
      <c r="B17" s="47">
        <v>0</v>
      </c>
      <c r="C17" s="47">
        <v>0</v>
      </c>
      <c r="D17" s="47">
        <v>0</v>
      </c>
    </row>
    <row r="18" spans="1:4">
      <c r="A18" s="50" t="s">
        <v>122</v>
      </c>
      <c r="B18" s="47">
        <v>0</v>
      </c>
      <c r="C18" s="47">
        <v>0</v>
      </c>
      <c r="D18" s="47">
        <v>0</v>
      </c>
    </row>
    <row r="19" spans="1:4">
      <c r="A19" s="51" t="s">
        <v>123</v>
      </c>
      <c r="B19" s="47" t="s">
        <v>118</v>
      </c>
      <c r="C19" s="47" t="s">
        <v>119</v>
      </c>
      <c r="D19" s="47" t="s">
        <v>120</v>
      </c>
    </row>
    <row r="20" spans="1:4">
      <c r="A20" s="50" t="s">
        <v>124</v>
      </c>
      <c r="B20" s="47">
        <v>0</v>
      </c>
      <c r="C20" s="47">
        <v>0</v>
      </c>
      <c r="D20" s="47">
        <v>0</v>
      </c>
    </row>
    <row r="21" spans="1:4">
      <c r="A21" s="50" t="s">
        <v>125</v>
      </c>
      <c r="B21" s="47" t="s">
        <v>126</v>
      </c>
      <c r="C21" s="47" t="s">
        <v>127</v>
      </c>
      <c r="D21" s="47" t="s">
        <v>128</v>
      </c>
    </row>
    <row r="22" spans="1:4">
      <c r="A22" s="50" t="s">
        <v>129</v>
      </c>
      <c r="B22" s="47" t="s">
        <v>126</v>
      </c>
      <c r="C22" s="47" t="s">
        <v>127</v>
      </c>
      <c r="D22" s="47" t="s">
        <v>128</v>
      </c>
    </row>
    <row r="23" spans="1:4" ht="28.5">
      <c r="A23" s="51" t="s">
        <v>130</v>
      </c>
      <c r="B23" s="47" t="s">
        <v>131</v>
      </c>
      <c r="C23" s="47" t="s">
        <v>132</v>
      </c>
      <c r="D23" s="47" t="s">
        <v>133</v>
      </c>
    </row>
    <row r="24" spans="1:4" ht="28.5">
      <c r="A24" s="51" t="s">
        <v>134</v>
      </c>
      <c r="B24" s="47" t="s">
        <v>135</v>
      </c>
      <c r="C24" s="47" t="s">
        <v>136</v>
      </c>
      <c r="D24" s="47" t="s">
        <v>137</v>
      </c>
    </row>
    <row r="25" spans="1:4">
      <c r="A25" s="50" t="s">
        <v>138</v>
      </c>
      <c r="B25" s="47">
        <v>0</v>
      </c>
      <c r="C25" s="47">
        <v>0</v>
      </c>
      <c r="D25" s="47">
        <v>0</v>
      </c>
    </row>
    <row r="26" spans="1:4">
      <c r="A26" s="50" t="s">
        <v>139</v>
      </c>
      <c r="B26" s="47" t="s">
        <v>140</v>
      </c>
      <c r="C26" s="47" t="s">
        <v>141</v>
      </c>
      <c r="D26" s="47" t="s">
        <v>142</v>
      </c>
    </row>
    <row r="27" spans="1:4">
      <c r="A27" s="51" t="s">
        <v>143</v>
      </c>
      <c r="B27" s="47" t="s">
        <v>144</v>
      </c>
      <c r="C27" s="47" t="s">
        <v>145</v>
      </c>
      <c r="D27" s="47" t="s">
        <v>146</v>
      </c>
    </row>
    <row r="28" spans="1:4">
      <c r="A28" s="50" t="s">
        <v>147</v>
      </c>
      <c r="B28" s="47" t="s">
        <v>148</v>
      </c>
      <c r="C28" s="47" t="s">
        <v>148</v>
      </c>
      <c r="D28" s="47" t="s">
        <v>149</v>
      </c>
    </row>
    <row r="29" spans="1:4" ht="28.5">
      <c r="A29" s="50" t="s">
        <v>150</v>
      </c>
      <c r="B29" s="47" t="s">
        <v>148</v>
      </c>
      <c r="C29" s="47" t="s">
        <v>148</v>
      </c>
      <c r="D29" s="47" t="s">
        <v>151</v>
      </c>
    </row>
    <row r="30" spans="1:4">
      <c r="A30" s="50" t="s">
        <v>152</v>
      </c>
      <c r="B30" s="47" t="s">
        <v>148</v>
      </c>
      <c r="C30" s="47" t="s">
        <v>148</v>
      </c>
      <c r="D30" s="47" t="s">
        <v>151</v>
      </c>
    </row>
    <row r="31" spans="1:4">
      <c r="A31" s="51" t="s">
        <v>153</v>
      </c>
      <c r="B31" s="47" t="s">
        <v>144</v>
      </c>
      <c r="C31" s="47" t="s">
        <v>145</v>
      </c>
      <c r="D31" s="47" t="s">
        <v>154</v>
      </c>
    </row>
    <row r="32" spans="1:4">
      <c r="A32" s="50" t="s">
        <v>155</v>
      </c>
      <c r="B32" s="47" t="s">
        <v>148</v>
      </c>
      <c r="C32" s="47" t="s">
        <v>148</v>
      </c>
      <c r="D32" s="47" t="s">
        <v>156</v>
      </c>
    </row>
    <row r="33" spans="1:4">
      <c r="A33" s="50" t="s">
        <v>157</v>
      </c>
      <c r="B33" s="47" t="s">
        <v>148</v>
      </c>
      <c r="C33" s="47" t="s">
        <v>148</v>
      </c>
      <c r="D33" s="47" t="s">
        <v>158</v>
      </c>
    </row>
    <row r="34" spans="1:4">
      <c r="A34" s="50" t="s">
        <v>159</v>
      </c>
      <c r="B34" s="47" t="s">
        <v>148</v>
      </c>
      <c r="C34" s="47" t="s">
        <v>148</v>
      </c>
      <c r="D34" s="47" t="s">
        <v>148</v>
      </c>
    </row>
    <row r="35" spans="1:4">
      <c r="A35" s="50" t="s">
        <v>160</v>
      </c>
      <c r="B35" s="47" t="s">
        <v>148</v>
      </c>
      <c r="C35" s="47" t="s">
        <v>148</v>
      </c>
      <c r="D35" s="47" t="s">
        <v>158</v>
      </c>
    </row>
    <row r="36" spans="1:4" ht="14.25" customHeight="1">
      <c r="A36" s="106" t="s">
        <v>161</v>
      </c>
      <c r="B36" s="103" t="s">
        <v>92</v>
      </c>
      <c r="C36" s="104"/>
      <c r="D36" s="105"/>
    </row>
    <row r="37" spans="1:4">
      <c r="A37" s="107"/>
      <c r="B37" s="46">
        <v>2024</v>
      </c>
      <c r="C37" s="46">
        <v>2025</v>
      </c>
      <c r="D37" s="46">
        <v>2026</v>
      </c>
    </row>
    <row r="38" spans="1:4" ht="28.5">
      <c r="A38" s="50" t="s">
        <v>162</v>
      </c>
      <c r="B38" s="47" t="s">
        <v>148</v>
      </c>
      <c r="C38" s="47" t="s">
        <v>144</v>
      </c>
      <c r="D38" s="47" t="s">
        <v>163</v>
      </c>
    </row>
    <row r="39" spans="1:4">
      <c r="A39" s="50" t="s">
        <v>164</v>
      </c>
      <c r="B39" s="47" t="s">
        <v>144</v>
      </c>
      <c r="C39" s="47" t="s">
        <v>145</v>
      </c>
      <c r="D39" s="47" t="s">
        <v>154</v>
      </c>
    </row>
    <row r="40" spans="1:4">
      <c r="A40" s="50" t="s">
        <v>165</v>
      </c>
      <c r="B40" s="47" t="s">
        <v>144</v>
      </c>
      <c r="C40" s="47" t="s">
        <v>163</v>
      </c>
      <c r="D40" s="47" t="s">
        <v>166</v>
      </c>
    </row>
    <row r="41" spans="1:4">
      <c r="A41" s="50" t="s">
        <v>167</v>
      </c>
      <c r="B41" s="47" t="s">
        <v>148</v>
      </c>
      <c r="C41" s="47" t="s">
        <v>148</v>
      </c>
      <c r="D41" s="47" t="s">
        <v>156</v>
      </c>
    </row>
    <row r="42" spans="1:4" ht="28.5">
      <c r="A42" s="50" t="s">
        <v>168</v>
      </c>
      <c r="B42" s="47" t="s">
        <v>144</v>
      </c>
      <c r="C42" s="47" t="s">
        <v>163</v>
      </c>
      <c r="D42" s="47" t="s">
        <v>169</v>
      </c>
    </row>
  </sheetData>
  <mergeCells count="8">
    <mergeCell ref="A5:D5"/>
    <mergeCell ref="B6:D6"/>
    <mergeCell ref="A36:A37"/>
    <mergeCell ref="B36:D36"/>
    <mergeCell ref="A1:D1"/>
    <mergeCell ref="A2:D2"/>
    <mergeCell ref="A3:D3"/>
    <mergeCell ref="A4:D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16C0-BF3F-4CE1-AED3-E052787CA62A}">
  <dimension ref="A1:D41"/>
  <sheetViews>
    <sheetView showGridLines="0" workbookViewId="0">
      <selection sqref="A1:D1"/>
    </sheetView>
  </sheetViews>
  <sheetFormatPr defaultRowHeight="14.25"/>
  <cols>
    <col min="1" max="1" width="34" style="44" bestFit="1" customWidth="1"/>
    <col min="2" max="4" width="6.0625" style="44" customWidth="1"/>
    <col min="5" max="16384" width="9" style="44"/>
  </cols>
  <sheetData>
    <row r="1" spans="1:4" ht="35.25" customHeight="1">
      <c r="A1" s="100" t="s">
        <v>170</v>
      </c>
      <c r="B1" s="101"/>
      <c r="C1" s="101"/>
      <c r="D1" s="101"/>
    </row>
    <row r="2" spans="1:4" ht="15.75" customHeight="1">
      <c r="A2" s="102" t="s">
        <v>88</v>
      </c>
      <c r="B2" s="101"/>
      <c r="C2" s="101"/>
      <c r="D2" s="101"/>
    </row>
    <row r="3" spans="1:4" ht="15.75" customHeight="1">
      <c r="A3" s="102" t="s">
        <v>89</v>
      </c>
      <c r="B3" s="101"/>
      <c r="C3" s="101"/>
      <c r="D3" s="101"/>
    </row>
    <row r="4" spans="1:4" ht="28.5" customHeight="1">
      <c r="A4" s="103" t="s">
        <v>171</v>
      </c>
      <c r="B4" s="104"/>
      <c r="C4" s="104"/>
      <c r="D4" s="105"/>
    </row>
    <row r="5" spans="1:4" ht="14.25" customHeight="1">
      <c r="A5" s="106" t="s">
        <v>172</v>
      </c>
      <c r="B5" s="109" t="s">
        <v>173</v>
      </c>
      <c r="C5" s="110"/>
      <c r="D5" s="111"/>
    </row>
    <row r="6" spans="1:4" ht="14.25" customHeight="1">
      <c r="A6" s="108"/>
      <c r="B6" s="112" t="s">
        <v>174</v>
      </c>
      <c r="C6" s="113"/>
      <c r="D6" s="114"/>
    </row>
    <row r="7" spans="1:4">
      <c r="A7" s="107"/>
      <c r="B7" s="46">
        <v>2024</v>
      </c>
      <c r="C7" s="46">
        <v>2025</v>
      </c>
      <c r="D7" s="46">
        <v>2026</v>
      </c>
    </row>
    <row r="8" spans="1:4" ht="28.5">
      <c r="A8" s="51" t="s">
        <v>175</v>
      </c>
      <c r="B8" s="47" t="s">
        <v>176</v>
      </c>
      <c r="C8" s="47" t="s">
        <v>177</v>
      </c>
      <c r="D8" s="47" t="s">
        <v>178</v>
      </c>
    </row>
    <row r="9" spans="1:4">
      <c r="A9" s="50" t="s">
        <v>179</v>
      </c>
      <c r="B9" s="47" t="s">
        <v>180</v>
      </c>
      <c r="C9" s="47" t="s">
        <v>181</v>
      </c>
      <c r="D9" s="47" t="s">
        <v>182</v>
      </c>
    </row>
    <row r="10" spans="1:4">
      <c r="A10" s="50" t="s">
        <v>183</v>
      </c>
      <c r="B10" s="47" t="s">
        <v>184</v>
      </c>
      <c r="C10" s="47" t="s">
        <v>185</v>
      </c>
      <c r="D10" s="47" t="s">
        <v>186</v>
      </c>
    </row>
    <row r="11" spans="1:4" ht="28.5">
      <c r="A11" s="57" t="s">
        <v>187</v>
      </c>
      <c r="B11" s="47" t="s">
        <v>176</v>
      </c>
      <c r="C11" s="47" t="s">
        <v>177</v>
      </c>
      <c r="D11" s="47" t="s">
        <v>178</v>
      </c>
    </row>
    <row r="12" spans="1:4">
      <c r="A12" s="56"/>
      <c r="D12" s="55"/>
    </row>
    <row r="13" spans="1:4" ht="28.5">
      <c r="A13" s="50" t="s">
        <v>188</v>
      </c>
      <c r="B13" s="47" t="s">
        <v>189</v>
      </c>
      <c r="C13" s="47" t="s">
        <v>190</v>
      </c>
      <c r="D13" s="47" t="s">
        <v>191</v>
      </c>
    </row>
    <row r="14" spans="1:4">
      <c r="A14" s="50" t="s">
        <v>192</v>
      </c>
      <c r="B14" s="47" t="s">
        <v>148</v>
      </c>
      <c r="C14" s="47" t="s">
        <v>148</v>
      </c>
      <c r="D14" s="47" t="s">
        <v>148</v>
      </c>
    </row>
    <row r="15" spans="1:4">
      <c r="A15" s="50" t="s">
        <v>193</v>
      </c>
      <c r="B15" s="47" t="s">
        <v>194</v>
      </c>
      <c r="C15" s="47" t="s">
        <v>195</v>
      </c>
      <c r="D15" s="47" t="s">
        <v>196</v>
      </c>
    </row>
    <row r="16" spans="1:4" ht="42.75">
      <c r="A16" s="50" t="s">
        <v>197</v>
      </c>
      <c r="B16" s="47" t="s">
        <v>198</v>
      </c>
      <c r="C16" s="47" t="s">
        <v>199</v>
      </c>
      <c r="D16" s="47" t="s">
        <v>200</v>
      </c>
    </row>
    <row r="17" spans="1:4" ht="28.5">
      <c r="A17" s="50" t="s">
        <v>201</v>
      </c>
      <c r="B17" s="47" t="s">
        <v>202</v>
      </c>
      <c r="C17" s="47" t="s">
        <v>203</v>
      </c>
      <c r="D17" s="47" t="s">
        <v>204</v>
      </c>
    </row>
    <row r="18" spans="1:4" ht="28.5">
      <c r="A18" s="57" t="s">
        <v>205</v>
      </c>
      <c r="B18" s="47" t="s">
        <v>189</v>
      </c>
      <c r="C18" s="47" t="s">
        <v>190</v>
      </c>
      <c r="D18" s="47" t="s">
        <v>191</v>
      </c>
    </row>
    <row r="19" spans="1:4">
      <c r="A19" s="56"/>
      <c r="D19" s="55"/>
    </row>
    <row r="20" spans="1:4" ht="28.5">
      <c r="A20" s="51" t="s">
        <v>206</v>
      </c>
      <c r="B20" s="47" t="s">
        <v>207</v>
      </c>
      <c r="C20" s="47" t="s">
        <v>208</v>
      </c>
      <c r="D20" s="47" t="s">
        <v>209</v>
      </c>
    </row>
    <row r="21" spans="1:4">
      <c r="A21" s="50" t="s">
        <v>210</v>
      </c>
      <c r="B21" s="47" t="s">
        <v>211</v>
      </c>
      <c r="C21" s="47" t="s">
        <v>212</v>
      </c>
      <c r="D21" s="47" t="s">
        <v>213</v>
      </c>
    </row>
    <row r="22" spans="1:4" ht="42.75">
      <c r="A22" s="50" t="s">
        <v>214</v>
      </c>
      <c r="B22" s="47" t="s">
        <v>148</v>
      </c>
      <c r="C22" s="47" t="s">
        <v>148</v>
      </c>
      <c r="D22" s="47" t="s">
        <v>148</v>
      </c>
    </row>
    <row r="23" spans="1:4">
      <c r="A23" s="50" t="s">
        <v>215</v>
      </c>
      <c r="B23" s="47" t="s">
        <v>211</v>
      </c>
      <c r="C23" s="47" t="s">
        <v>212</v>
      </c>
      <c r="D23" s="47" t="s">
        <v>213</v>
      </c>
    </row>
    <row r="24" spans="1:4">
      <c r="A24" s="50" t="s">
        <v>216</v>
      </c>
      <c r="B24" s="47" t="s">
        <v>217</v>
      </c>
      <c r="C24" s="47" t="s">
        <v>218</v>
      </c>
      <c r="D24" s="47" t="s">
        <v>219</v>
      </c>
    </row>
    <row r="25" spans="1:4" ht="28.5">
      <c r="A25" s="50" t="s">
        <v>220</v>
      </c>
      <c r="B25" s="47" t="s">
        <v>148</v>
      </c>
      <c r="C25" s="47" t="s">
        <v>148</v>
      </c>
      <c r="D25" s="47" t="s">
        <v>221</v>
      </c>
    </row>
    <row r="26" spans="1:4">
      <c r="A26" s="50" t="s">
        <v>222</v>
      </c>
      <c r="B26" s="47" t="s">
        <v>223</v>
      </c>
      <c r="C26" s="47" t="s">
        <v>224</v>
      </c>
      <c r="D26" s="47" t="s">
        <v>225</v>
      </c>
    </row>
    <row r="27" spans="1:4">
      <c r="A27" s="50" t="s">
        <v>226</v>
      </c>
      <c r="B27" s="47" t="s">
        <v>126</v>
      </c>
      <c r="C27" s="47" t="s">
        <v>127</v>
      </c>
      <c r="D27" s="47" t="s">
        <v>128</v>
      </c>
    </row>
    <row r="28" spans="1:4" ht="28.5">
      <c r="A28" s="57" t="s">
        <v>227</v>
      </c>
      <c r="B28" s="47" t="s">
        <v>207</v>
      </c>
      <c r="C28" s="47" t="s">
        <v>208</v>
      </c>
      <c r="D28" s="47" t="s">
        <v>209</v>
      </c>
    </row>
    <row r="29" spans="1:4">
      <c r="A29" s="56"/>
      <c r="D29" s="55"/>
    </row>
    <row r="30" spans="1:4">
      <c r="A30" s="56"/>
      <c r="D30" s="55"/>
    </row>
    <row r="31" spans="1:4">
      <c r="A31" s="56"/>
      <c r="D31" s="55"/>
    </row>
    <row r="32" spans="1:4" ht="28.5">
      <c r="A32" s="57" t="s">
        <v>228</v>
      </c>
      <c r="B32" s="47" t="s">
        <v>229</v>
      </c>
      <c r="C32" s="47" t="s">
        <v>230</v>
      </c>
      <c r="D32" s="47" t="s">
        <v>231</v>
      </c>
    </row>
    <row r="33" spans="1:4">
      <c r="A33" s="56"/>
      <c r="D33" s="55"/>
    </row>
    <row r="34" spans="1:4">
      <c r="A34" s="56"/>
      <c r="D34" s="55"/>
    </row>
    <row r="35" spans="1:4">
      <c r="A35" s="56"/>
      <c r="D35" s="55"/>
    </row>
    <row r="36" spans="1:4">
      <c r="A36" s="51" t="s">
        <v>232</v>
      </c>
      <c r="B36" s="47" t="s">
        <v>148</v>
      </c>
      <c r="C36" s="47" t="s">
        <v>233</v>
      </c>
      <c r="D36" s="47" t="s">
        <v>234</v>
      </c>
    </row>
    <row r="37" spans="1:4">
      <c r="A37" s="56"/>
      <c r="D37" s="55"/>
    </row>
    <row r="38" spans="1:4">
      <c r="A38" s="56"/>
      <c r="D38" s="55"/>
    </row>
    <row r="39" spans="1:4">
      <c r="A39" s="56"/>
      <c r="D39" s="55"/>
    </row>
    <row r="40" spans="1:4" ht="28.5">
      <c r="A40" s="51" t="s">
        <v>235</v>
      </c>
      <c r="B40" s="47" t="s">
        <v>233</v>
      </c>
      <c r="C40" s="47" t="s">
        <v>234</v>
      </c>
      <c r="D40" s="47" t="s">
        <v>236</v>
      </c>
    </row>
    <row r="41" spans="1:4">
      <c r="A41" s="54"/>
      <c r="B41" s="53"/>
      <c r="C41" s="53"/>
      <c r="D41" s="52"/>
    </row>
  </sheetData>
  <mergeCells count="7">
    <mergeCell ref="A4:D4"/>
    <mergeCell ref="A5:A7"/>
    <mergeCell ref="B5:D5"/>
    <mergeCell ref="B6:D6"/>
    <mergeCell ref="A1:D1"/>
    <mergeCell ref="A2:D2"/>
    <mergeCell ref="A3:D3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HELP</vt:lpstr>
      <vt:lpstr>MENU</vt:lpstr>
      <vt:lpstr>Słownik</vt:lpstr>
      <vt:lpstr>Bilans</vt:lpstr>
      <vt:lpstr>Rachunek zysków i strat</vt:lpstr>
      <vt:lpstr>Rachunek przepływów pieniężnych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2008-11-08T20:22:45Z</dcterms:created>
  <dcterms:modified xsi:type="dcterms:W3CDTF">2024-04-03T11:48:24Z</dcterms:modified>
  <cp:category/>
  <cp:contentStatus/>
</cp:coreProperties>
</file>